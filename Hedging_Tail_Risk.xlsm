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ig\Documents\2019 y 2020\Maestría 2019 y 2020\2020\Tercer Trimestre\Financial_Analytics\Trabajo_Final\"/>
    </mc:Choice>
  </mc:AlternateContent>
  <xr:revisionPtr revIDLastSave="0" documentId="13_ncr:1_{DF9E00E4-7B17-4267-AD8F-A1496A7E5784}" xr6:coauthVersionLast="46" xr6:coauthVersionMax="46" xr10:uidLastSave="{00000000-0000-0000-0000-000000000000}"/>
  <bookViews>
    <workbookView xWindow="-108" yWindow="-108" windowWidth="23256" windowHeight="12576" activeTab="1" xr2:uid="{32B33D86-2E58-4A5C-B1C4-CF90DA544611}"/>
  </bookViews>
  <sheets>
    <sheet name="Summary" sheetId="1" r:id="rId1"/>
    <sheet name="25Mar_Contrato30Abr_CallsyPuts" sheetId="2" r:id="rId2"/>
    <sheet name="Conditions" sheetId="4" state="hidden" r:id="rId3"/>
    <sheet name="24Mar_TreasuryYields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" i="2" l="1"/>
  <c r="Y1" i="2"/>
  <c r="AA1" i="2"/>
  <c r="AT48" i="2"/>
  <c r="AT46" i="2"/>
  <c r="AT44" i="2"/>
  <c r="AT42" i="2"/>
  <c r="AT40" i="2"/>
  <c r="AT38" i="2"/>
  <c r="AT36" i="2"/>
  <c r="AT34" i="2"/>
  <c r="AT32" i="2"/>
  <c r="AT30" i="2"/>
  <c r="AT28" i="2"/>
  <c r="AT26" i="2"/>
  <c r="AT24" i="2"/>
  <c r="AT22" i="2"/>
  <c r="AT20" i="2"/>
  <c r="AT18" i="2"/>
  <c r="AT16" i="2"/>
  <c r="AT14" i="2"/>
  <c r="AT12" i="2"/>
  <c r="AT10" i="2"/>
  <c r="AT8" i="2"/>
  <c r="AT6" i="2"/>
  <c r="AS48" i="2"/>
  <c r="AR48" i="2"/>
  <c r="AR46" i="2"/>
  <c r="AS46" i="2" s="1"/>
  <c r="AU46" i="2" s="1"/>
  <c r="AT4" i="2"/>
  <c r="E12" i="1"/>
  <c r="D6" i="1"/>
  <c r="AA2" i="2" s="1"/>
  <c r="D9" i="1"/>
  <c r="D15" i="1"/>
  <c r="B42" i="2" s="1"/>
  <c r="AR42" i="2" s="1"/>
  <c r="AS42" i="2" s="1"/>
  <c r="O26" i="2"/>
  <c r="N26" i="2" s="1"/>
  <c r="O6" i="2"/>
  <c r="N6" i="2" s="1"/>
  <c r="D44" i="2"/>
  <c r="D42" i="2"/>
  <c r="D40" i="2"/>
  <c r="D38" i="2"/>
  <c r="D36" i="2"/>
  <c r="D34" i="2"/>
  <c r="D32" i="2"/>
  <c r="D30" i="2"/>
  <c r="D28" i="2"/>
  <c r="D26" i="2"/>
  <c r="D24" i="2"/>
  <c r="D22" i="2"/>
  <c r="D20" i="2"/>
  <c r="D18" i="2"/>
  <c r="D16" i="2"/>
  <c r="D14" i="2"/>
  <c r="D12" i="2"/>
  <c r="D10" i="2"/>
  <c r="D8" i="2"/>
  <c r="D6" i="2"/>
  <c r="D4" i="2"/>
  <c r="AM6" i="2"/>
  <c r="AO6" i="2" s="1"/>
  <c r="AM8" i="2"/>
  <c r="AO8" i="2" s="1"/>
  <c r="AM10" i="2"/>
  <c r="AO10" i="2" s="1"/>
  <c r="AM12" i="2"/>
  <c r="AO12" i="2" s="1"/>
  <c r="AM14" i="2"/>
  <c r="AO14" i="2" s="1"/>
  <c r="AM16" i="2"/>
  <c r="AO16" i="2" s="1"/>
  <c r="AM18" i="2"/>
  <c r="AO18" i="2" s="1"/>
  <c r="AM20" i="2"/>
  <c r="AO20" i="2" s="1"/>
  <c r="AM22" i="2"/>
  <c r="AO22" i="2" s="1"/>
  <c r="AM24" i="2"/>
  <c r="AO24" i="2" s="1"/>
  <c r="AM26" i="2"/>
  <c r="AO26" i="2" s="1"/>
  <c r="AM28" i="2"/>
  <c r="AO28" i="2" s="1"/>
  <c r="AM30" i="2"/>
  <c r="AO30" i="2" s="1"/>
  <c r="AM32" i="2"/>
  <c r="AM34" i="2"/>
  <c r="AM36" i="2"/>
  <c r="AM38" i="2"/>
  <c r="AM40" i="2"/>
  <c r="AM42" i="2"/>
  <c r="AM44" i="2"/>
  <c r="AM46" i="2"/>
  <c r="O46" i="2"/>
  <c r="N46" i="2" s="1"/>
  <c r="O44" i="2"/>
  <c r="N44" i="2" s="1"/>
  <c r="O42" i="2"/>
  <c r="N42" i="2" s="1"/>
  <c r="O40" i="2"/>
  <c r="N40" i="2" s="1"/>
  <c r="O38" i="2"/>
  <c r="N38" i="2" s="1"/>
  <c r="O36" i="2"/>
  <c r="N36" i="2" s="1"/>
  <c r="O34" i="2"/>
  <c r="N34" i="2" s="1"/>
  <c r="O32" i="2"/>
  <c r="N32" i="2" s="1"/>
  <c r="O30" i="2"/>
  <c r="N30" i="2" s="1"/>
  <c r="O28" i="2"/>
  <c r="N28" i="2" s="1"/>
  <c r="O24" i="2"/>
  <c r="N24" i="2" s="1"/>
  <c r="O22" i="2"/>
  <c r="N22" i="2" s="1"/>
  <c r="O20" i="2"/>
  <c r="N20" i="2" s="1"/>
  <c r="O18" i="2"/>
  <c r="N18" i="2" s="1"/>
  <c r="O16" i="2"/>
  <c r="N16" i="2" s="1"/>
  <c r="O14" i="2"/>
  <c r="N14" i="2" s="1"/>
  <c r="O12" i="2"/>
  <c r="N12" i="2" s="1"/>
  <c r="O10" i="2"/>
  <c r="N10" i="2" s="1"/>
  <c r="O8" i="2"/>
  <c r="N8" i="2" s="1"/>
  <c r="AU42" i="2" l="1"/>
  <c r="E15" i="1"/>
  <c r="C42" i="2"/>
  <c r="E42" i="2" s="1"/>
  <c r="B6" i="2"/>
  <c r="AR6" i="2" s="1"/>
  <c r="AS6" i="2" s="1"/>
  <c r="AU6" i="2" s="1"/>
  <c r="B28" i="2"/>
  <c r="AR28" i="2" s="1"/>
  <c r="AS28" i="2" s="1"/>
  <c r="AU28" i="2" s="1"/>
  <c r="B30" i="2"/>
  <c r="AR30" i="2" s="1"/>
  <c r="AS30" i="2" s="1"/>
  <c r="AU30" i="2" s="1"/>
  <c r="B12" i="2"/>
  <c r="AR12" i="2" s="1"/>
  <c r="AS12" i="2" s="1"/>
  <c r="AU12" i="2" s="1"/>
  <c r="B44" i="2"/>
  <c r="AR44" i="2" s="1"/>
  <c r="AS44" i="2" s="1"/>
  <c r="AU44" i="2" s="1"/>
  <c r="B14" i="2"/>
  <c r="AR14" i="2" s="1"/>
  <c r="AS14" i="2" s="1"/>
  <c r="AU14" i="2" s="1"/>
  <c r="B16" i="2"/>
  <c r="AR16" i="2" s="1"/>
  <c r="AS16" i="2" s="1"/>
  <c r="AU16" i="2" s="1"/>
  <c r="B32" i="2"/>
  <c r="AR32" i="2" s="1"/>
  <c r="AS32" i="2" s="1"/>
  <c r="AU32" i="2" s="1"/>
  <c r="B18" i="2"/>
  <c r="AR18" i="2" s="1"/>
  <c r="AS18" i="2" s="1"/>
  <c r="AU18" i="2" s="1"/>
  <c r="B34" i="2"/>
  <c r="AR34" i="2" s="1"/>
  <c r="AS34" i="2" s="1"/>
  <c r="AU34" i="2" s="1"/>
  <c r="B20" i="2"/>
  <c r="AR20" i="2" s="1"/>
  <c r="AS20" i="2" s="1"/>
  <c r="AU20" i="2" s="1"/>
  <c r="B38" i="2"/>
  <c r="AR38" i="2" s="1"/>
  <c r="AS38" i="2" s="1"/>
  <c r="AU38" i="2" s="1"/>
  <c r="B8" i="2"/>
  <c r="AR8" i="2" s="1"/>
  <c r="AS8" i="2" s="1"/>
  <c r="AU8" i="2" s="1"/>
  <c r="B24" i="2"/>
  <c r="AR24" i="2" s="1"/>
  <c r="AS24" i="2" s="1"/>
  <c r="AU24" i="2" s="1"/>
  <c r="B40" i="2"/>
  <c r="AR40" i="2" s="1"/>
  <c r="AS40" i="2" s="1"/>
  <c r="AU40" i="2" s="1"/>
  <c r="B36" i="2"/>
  <c r="AR36" i="2" s="1"/>
  <c r="AS36" i="2" s="1"/>
  <c r="AU36" i="2" s="1"/>
  <c r="B22" i="2"/>
  <c r="AR22" i="2" s="1"/>
  <c r="AS22" i="2" s="1"/>
  <c r="AU22" i="2" s="1"/>
  <c r="B10" i="2"/>
  <c r="AR10" i="2" s="1"/>
  <c r="AS10" i="2" s="1"/>
  <c r="AU10" i="2" s="1"/>
  <c r="B26" i="2"/>
  <c r="AR26" i="2" s="1"/>
  <c r="AS26" i="2" s="1"/>
  <c r="AU26" i="2" s="1"/>
  <c r="AW14" i="2" l="1"/>
  <c r="AV14" i="2"/>
  <c r="AV24" i="2"/>
  <c r="AW24" i="2"/>
  <c r="AV20" i="2"/>
  <c r="AW20" i="2"/>
  <c r="AW30" i="2"/>
  <c r="AV30" i="2"/>
  <c r="AW16" i="2"/>
  <c r="AV16" i="2"/>
  <c r="AV8" i="2"/>
  <c r="AW8" i="2"/>
  <c r="AW12" i="2"/>
  <c r="AV12" i="2"/>
  <c r="AW28" i="2"/>
  <c r="AV28" i="2"/>
  <c r="AV26" i="2"/>
  <c r="AW26" i="2"/>
  <c r="AV10" i="2"/>
  <c r="AW10" i="2"/>
  <c r="AV22" i="2"/>
  <c r="AW22" i="2"/>
  <c r="AW18" i="2"/>
  <c r="AV18" i="2"/>
  <c r="AV6" i="2"/>
  <c r="AW6" i="2"/>
  <c r="G42" i="2"/>
  <c r="I6" i="2"/>
  <c r="AY6" i="2" s="1"/>
  <c r="C20" i="2"/>
  <c r="E20" i="2" s="1"/>
  <c r="F20" i="2" s="1"/>
  <c r="C26" i="2"/>
  <c r="E26" i="2" s="1"/>
  <c r="G26" i="2" s="1"/>
  <c r="C18" i="2"/>
  <c r="E18" i="2" s="1"/>
  <c r="G18" i="2" s="1"/>
  <c r="C12" i="2"/>
  <c r="E12" i="2" s="1"/>
  <c r="F12" i="2" s="1"/>
  <c r="C28" i="2"/>
  <c r="E28" i="2" s="1"/>
  <c r="F28" i="2" s="1"/>
  <c r="C38" i="2"/>
  <c r="E38" i="2" s="1"/>
  <c r="G38" i="2" s="1"/>
  <c r="C30" i="2"/>
  <c r="E30" i="2" s="1"/>
  <c r="G30" i="2" s="1"/>
  <c r="C10" i="2"/>
  <c r="E10" i="2" s="1"/>
  <c r="G10" i="2" s="1"/>
  <c r="C34" i="2"/>
  <c r="E34" i="2" s="1"/>
  <c r="G34" i="2" s="1"/>
  <c r="C22" i="2"/>
  <c r="E22" i="2" s="1"/>
  <c r="G22" i="2" s="1"/>
  <c r="C24" i="2"/>
  <c r="E24" i="2" s="1"/>
  <c r="G24" i="2" s="1"/>
  <c r="C36" i="2"/>
  <c r="E36" i="2" s="1"/>
  <c r="F36" i="2" s="1"/>
  <c r="C32" i="2"/>
  <c r="E32" i="2" s="1"/>
  <c r="F32" i="2" s="1"/>
  <c r="C40" i="2"/>
  <c r="E40" i="2" s="1"/>
  <c r="F40" i="2" s="1"/>
  <c r="C16" i="2"/>
  <c r="E16" i="2" s="1"/>
  <c r="G16" i="2" s="1"/>
  <c r="C14" i="2"/>
  <c r="E14" i="2" s="1"/>
  <c r="G14" i="2" s="1"/>
  <c r="C8" i="2"/>
  <c r="E8" i="2" s="1"/>
  <c r="F8" i="2" s="1"/>
  <c r="C44" i="2"/>
  <c r="E44" i="2" s="1"/>
  <c r="G44" i="2" s="1"/>
  <c r="F42" i="2"/>
  <c r="C6" i="2"/>
  <c r="E6" i="2" s="1"/>
  <c r="F6" i="2" s="1"/>
  <c r="I44" i="2"/>
  <c r="I12" i="2"/>
  <c r="AY12" i="2" s="1"/>
  <c r="I10" i="2"/>
  <c r="AY10" i="2" s="1"/>
  <c r="I26" i="2"/>
  <c r="AY26" i="2" s="1"/>
  <c r="I36" i="2"/>
  <c r="I28" i="2"/>
  <c r="AY28" i="2" s="1"/>
  <c r="I20" i="2"/>
  <c r="AY20" i="2" s="1"/>
  <c r="I16" i="2"/>
  <c r="AY16" i="2" s="1"/>
  <c r="I42" i="2"/>
  <c r="I18" i="2"/>
  <c r="AY18" i="2" s="1"/>
  <c r="I40" i="2"/>
  <c r="I8" i="2"/>
  <c r="AY8" i="2" s="1"/>
  <c r="I32" i="2"/>
  <c r="I14" i="2"/>
  <c r="AY14" i="2" s="1"/>
  <c r="I22" i="2"/>
  <c r="AY22" i="2" s="1"/>
  <c r="I38" i="2"/>
  <c r="I24" i="2"/>
  <c r="AY24" i="2" s="1"/>
  <c r="I30" i="2"/>
  <c r="AY30" i="2" s="1"/>
  <c r="I34" i="2"/>
  <c r="AX12" i="2" l="1"/>
  <c r="AZ12" i="2" s="1"/>
  <c r="AX18" i="2"/>
  <c r="AZ18" i="2" s="1"/>
  <c r="AX28" i="2"/>
  <c r="AZ28" i="2" s="1"/>
  <c r="AX30" i="2"/>
  <c r="AX22" i="2"/>
  <c r="AZ22" i="2" s="1"/>
  <c r="AX20" i="2"/>
  <c r="AZ20" i="2" s="1"/>
  <c r="AX10" i="2"/>
  <c r="AZ10" i="2" s="1"/>
  <c r="AX8" i="2"/>
  <c r="AZ8" i="2" s="1"/>
  <c r="AX24" i="2"/>
  <c r="AX16" i="2"/>
  <c r="AZ16" i="2" s="1"/>
  <c r="AX14" i="2"/>
  <c r="AZ14" i="2" s="1"/>
  <c r="AZ30" i="2"/>
  <c r="AZ24" i="2"/>
  <c r="AX6" i="2"/>
  <c r="AZ6" i="2" s="1"/>
  <c r="AX26" i="2"/>
  <c r="AZ26" i="2" s="1"/>
  <c r="G20" i="2"/>
  <c r="H20" i="2" s="1"/>
  <c r="J20" i="2" s="1"/>
  <c r="H42" i="2"/>
  <c r="J42" i="2" s="1"/>
  <c r="G40" i="2"/>
  <c r="H40" i="2" s="1"/>
  <c r="J40" i="2" s="1"/>
  <c r="G8" i="2"/>
  <c r="H8" i="2" s="1"/>
  <c r="J8" i="2" s="1"/>
  <c r="F34" i="2"/>
  <c r="H34" i="2" s="1"/>
  <c r="J34" i="2" s="1"/>
  <c r="F22" i="2"/>
  <c r="H22" i="2" s="1"/>
  <c r="J22" i="2" s="1"/>
  <c r="F44" i="2"/>
  <c r="H44" i="2" s="1"/>
  <c r="J44" i="2" s="1"/>
  <c r="G32" i="2"/>
  <c r="H32" i="2" s="1"/>
  <c r="J32" i="2" s="1"/>
  <c r="G6" i="2"/>
  <c r="F18" i="2"/>
  <c r="H18" i="2" s="1"/>
  <c r="J18" i="2" s="1"/>
  <c r="F16" i="2"/>
  <c r="H16" i="2" s="1"/>
  <c r="J16" i="2" s="1"/>
  <c r="G12" i="2"/>
  <c r="H12" i="2" s="1"/>
  <c r="J12" i="2" s="1"/>
  <c r="F14" i="2"/>
  <c r="H14" i="2" s="1"/>
  <c r="J14" i="2" s="1"/>
  <c r="F10" i="2"/>
  <c r="H10" i="2" s="1"/>
  <c r="J10" i="2" s="1"/>
  <c r="F24" i="2"/>
  <c r="H24" i="2" s="1"/>
  <c r="J24" i="2" s="1"/>
  <c r="F30" i="2"/>
  <c r="H30" i="2" s="1"/>
  <c r="J30" i="2" s="1"/>
  <c r="F38" i="2"/>
  <c r="H38" i="2" s="1"/>
  <c r="J38" i="2" s="1"/>
  <c r="G36" i="2"/>
  <c r="H36" i="2" s="1"/>
  <c r="J36" i="2" s="1"/>
  <c r="G28" i="2"/>
  <c r="H28" i="2" s="1"/>
  <c r="J28" i="2" s="1"/>
  <c r="F26" i="2"/>
  <c r="H26" i="2" s="1"/>
  <c r="J26" i="2" s="1"/>
  <c r="H6" i="2" l="1"/>
  <c r="J6" i="2" s="1"/>
</calcChain>
</file>

<file path=xl/sharedStrings.xml><?xml version="1.0" encoding="utf-8"?>
<sst xmlns="http://schemas.openxmlformats.org/spreadsheetml/2006/main" count="175" uniqueCount="70">
  <si>
    <t>Tolerancia máxima caída</t>
  </si>
  <si>
    <t>Horizonte temporal (días)</t>
  </si>
  <si>
    <t>Estrategia hedging</t>
  </si>
  <si>
    <t>Short Calls BTC</t>
  </si>
  <si>
    <t>Long Puts BTC</t>
  </si>
  <si>
    <t>Fecha</t>
  </si>
  <si>
    <t>Hedge Settlement</t>
  </si>
  <si>
    <t>Last</t>
  </si>
  <si>
    <t>Size</t>
  </si>
  <si>
    <t>IV</t>
  </si>
  <si>
    <t>Bid</t>
  </si>
  <si>
    <t>Ask</t>
  </si>
  <si>
    <t>Vol</t>
  </si>
  <si>
    <t>Δ|Delta</t>
  </si>
  <si>
    <t>Strike</t>
  </si>
  <si>
    <t>-</t>
  </si>
  <si>
    <t>CALLS</t>
  </si>
  <si>
    <t>PUTS</t>
  </si>
  <si>
    <t>Date</t>
  </si>
  <si>
    <t>1 Mo</t>
  </si>
  <si>
    <t>2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</si>
  <si>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</si>
  <si>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</si>
  <si>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</si>
  <si>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</si>
  <si>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</si>
  <si>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</si>
  <si>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</si>
  <si>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</si>
  <si>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</si>
  <si>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</si>
  <si>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Intrinsic Value</t>
  </si>
  <si>
    <t>ATM</t>
  </si>
  <si>
    <t xml:space="preserve">Exercise of an options contract will result in a settlement in BTC immediately after the expiry. </t>
  </si>
  <si>
    <t xml:space="preserve">Settlement </t>
  </si>
  <si>
    <t>Initial Margin</t>
  </si>
  <si>
    <t>Maintenance Margin</t>
  </si>
  <si>
    <t>None</t>
  </si>
  <si>
    <t>Valor del portafolio (long)</t>
  </si>
  <si>
    <t xml:space="preserve">Maximum (0.15 - OTM Amount/Underlying Mark Price, 0.1) + Mark Price of the Option
</t>
  </si>
  <si>
    <t xml:space="preserve">0.075 + Mark Price of the Option
</t>
  </si>
  <si>
    <t>Monto a hedgear</t>
  </si>
  <si>
    <t>https://blog.goodaudience.com/4-ways-to-hedge-out-your-cryptocurrency-exposure-e4d0d254dfda</t>
  </si>
  <si>
    <t>Extrinsic value is also known as "time value" because the time left until the option contract expires is one of the primary factors affecting the option premium. Under normal circumstances, a contract loses value as it approaches its expiration date because there is less time for the underlying security to move favorably. </t>
  </si>
  <si>
    <t>Extrinsic Value</t>
  </si>
  <si>
    <t>Another factor that affects extrinsic value is implied volatility.</t>
  </si>
  <si>
    <t>Unidades USD a vender</t>
  </si>
  <si>
    <t>Unidades BTC a vender</t>
  </si>
  <si>
    <t>Cantidad de contratos a vender</t>
  </si>
  <si>
    <t>BTC Price - 20%</t>
  </si>
  <si>
    <t>Ingreso por prima</t>
  </si>
  <si>
    <t>Resultado opción</t>
  </si>
  <si>
    <t>Portfolio</t>
  </si>
  <si>
    <t>Total</t>
  </si>
  <si>
    <t>Hedge</t>
  </si>
  <si>
    <t>CONTRATO</t>
  </si>
  <si>
    <t>BTC Price USD</t>
  </si>
  <si>
    <t>USD</t>
  </si>
  <si>
    <t>BTC</t>
  </si>
  <si>
    <t>Short Perpetual Swap</t>
  </si>
  <si>
    <t>PnL Total</t>
  </si>
  <si>
    <t>CALIBRACIÓN DEL HEDGE PARA TAIL RISK</t>
  </si>
  <si>
    <t>Cálculo del PnL (HEDGE + Portfolio)</t>
  </si>
  <si>
    <t>Unidades BTC a comprar</t>
  </si>
  <si>
    <t>Unidades USD a comprar</t>
  </si>
  <si>
    <t>Egreso por prima</t>
  </si>
  <si>
    <t>Cantidad de contratos a comprar</t>
  </si>
  <si>
    <t>https://insights.deribit.com/education/introduction-to-option-greeks/</t>
  </si>
  <si>
    <t>Consigna</t>
  </si>
  <si>
    <t>Deribit: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</si>
</sst>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"/>
      <color rgb="FF2A2A2A"/>
      <name val="Arial"/>
      <family val="2"/>
    </font>
    <font>
      <sz val="7"/>
      <color rgb="FF2A2A2A"/>
      <name val="Arial"/>
      <family val="2"/>
    </font>
    <font>
      <b/>
      <sz val="8"/>
      <color rgb="FF333333"/>
      <name val="Source Sans Pro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11111"/>
      <name val="Arial"/>
      <family val="2"/>
    </font>
    <font>
      <sz val="11"/>
      <color rgb="FF333333"/>
      <name val="Source Sans Pro"/>
      <family val="2"/>
    </font>
    <font>
      <sz val="11"/>
      <color rgb="FF7AAE1A"/>
      <name val="Source Sans Pro"/>
      <family val="2"/>
    </font>
    <font>
      <sz val="11"/>
      <color rgb="FFDA5750"/>
      <name val="Source Sans Pro"/>
      <family val="2"/>
    </font>
    <font>
      <sz val="11"/>
      <color rgb="FF999999"/>
      <name val="Source Sans Pro"/>
      <family val="2"/>
    </font>
    <font>
      <b/>
      <sz val="11"/>
      <name val="Source Sans Pro"/>
      <family val="2"/>
    </font>
    <font>
      <b/>
      <sz val="11"/>
      <color rgb="FF9F9F9F"/>
      <name val="Source Sans Pro"/>
      <family val="2"/>
    </font>
    <font>
      <b/>
      <sz val="11"/>
      <color rgb="FF333333"/>
      <name val="Source Sans Pro"/>
      <family val="2"/>
    </font>
    <font>
      <b/>
      <sz val="14"/>
      <color rgb="FF333333"/>
      <name val="Source Sans Pro"/>
      <family val="2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DF0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medium">
        <color rgb="FFF7F8F8"/>
      </left>
      <right style="medium">
        <color rgb="FFF7F8F8"/>
      </right>
      <top style="medium">
        <color rgb="FFE8EBEC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E8EBEC"/>
      </left>
      <right style="medium">
        <color rgb="FFF7F8F8"/>
      </right>
      <top style="medium">
        <color rgb="FFE8EBEC"/>
      </top>
      <bottom style="medium">
        <color rgb="FFDDDDDD"/>
      </bottom>
      <diagonal/>
    </border>
    <border>
      <left style="medium">
        <color rgb="FFF7F8F8"/>
      </left>
      <right style="medium">
        <color rgb="FFE8EBEC"/>
      </right>
      <top style="medium">
        <color rgb="FFE8EBEC"/>
      </top>
      <bottom style="medium">
        <color rgb="FFDDDDDD"/>
      </bottom>
      <diagonal/>
    </border>
    <border>
      <left style="medium">
        <color rgb="FFE8EBEC"/>
      </left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E8EBEC"/>
      </right>
      <top style="medium">
        <color rgb="FFDDDDDD"/>
      </top>
      <bottom/>
      <diagonal/>
    </border>
    <border>
      <left style="medium">
        <color rgb="FFE8EBEC"/>
      </left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E8EBEC"/>
      </right>
      <top/>
      <bottom style="medium">
        <color rgb="FFDDDDDD"/>
      </bottom>
      <diagonal/>
    </border>
    <border>
      <left style="medium">
        <color rgb="FFE8EBEC"/>
      </left>
      <right style="medium">
        <color rgb="FFDDDDDD"/>
      </right>
      <top/>
      <bottom style="medium">
        <color rgb="FFE8EBEC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E8EBEC"/>
      </bottom>
      <diagonal/>
    </border>
    <border>
      <left style="medium">
        <color rgb="FFDDDDDD"/>
      </left>
      <right style="medium">
        <color rgb="FFE8EBEC"/>
      </right>
      <top/>
      <bottom style="medium">
        <color rgb="FFE8EBEC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9">
    <xf numFmtId="0" fontId="0" fillId="0" borderId="0" xfId="0"/>
    <xf numFmtId="0" fontId="2" fillId="0" borderId="0" xfId="0" applyFont="1"/>
    <xf numFmtId="43" fontId="0" fillId="0" borderId="0" xfId="1" applyFont="1"/>
    <xf numFmtId="165" fontId="0" fillId="0" borderId="0" xfId="1" applyNumberFormat="1" applyFont="1"/>
    <xf numFmtId="14" fontId="0" fillId="0" borderId="0" xfId="0" applyNumberFormat="1"/>
    <xf numFmtId="0" fontId="3" fillId="6" borderId="0" xfId="0" applyFont="1" applyFill="1" applyAlignment="1">
      <alignment horizontal="left" vertical="center" wrapText="1"/>
    </xf>
    <xf numFmtId="14" fontId="4" fillId="7" borderId="0" xfId="0" applyNumberFormat="1" applyFont="1" applyFill="1" applyAlignment="1">
      <alignment vertical="top" wrapText="1"/>
    </xf>
    <xf numFmtId="14" fontId="4" fillId="2" borderId="0" xfId="0" applyNumberFormat="1" applyFont="1" applyFill="1" applyAlignment="1">
      <alignment vertical="top" wrapText="1"/>
    </xf>
    <xf numFmtId="10" fontId="4" fillId="7" borderId="0" xfId="2" applyNumberFormat="1" applyFont="1" applyFill="1" applyAlignment="1">
      <alignment vertical="top" wrapText="1"/>
    </xf>
    <xf numFmtId="10" fontId="4" fillId="2" borderId="0" xfId="2" applyNumberFormat="1" applyFont="1" applyFill="1" applyAlignment="1">
      <alignment vertical="top" wrapText="1"/>
    </xf>
    <xf numFmtId="165" fontId="0" fillId="0" borderId="0" xfId="0" applyNumberFormat="1"/>
    <xf numFmtId="38" fontId="2" fillId="0" borderId="0" xfId="0" applyNumberFormat="1" applyFont="1"/>
    <xf numFmtId="38" fontId="0" fillId="0" borderId="0" xfId="0" applyNumberFormat="1"/>
    <xf numFmtId="165" fontId="0" fillId="8" borderId="0" xfId="1" applyNumberFormat="1" applyFont="1" applyFill="1"/>
    <xf numFmtId="0" fontId="0" fillId="0" borderId="0" xfId="0" applyAlignment="1"/>
    <xf numFmtId="165" fontId="6" fillId="0" borderId="0" xfId="1" applyNumberFormat="1" applyFont="1"/>
    <xf numFmtId="165" fontId="0" fillId="8" borderId="0" xfId="0" applyNumberFormat="1" applyFill="1"/>
    <xf numFmtId="9" fontId="0" fillId="8" borderId="0" xfId="0" applyNumberFormat="1" applyFill="1"/>
    <xf numFmtId="0" fontId="7" fillId="0" borderId="0" xfId="3"/>
    <xf numFmtId="0" fontId="8" fillId="0" borderId="0" xfId="0" applyFont="1"/>
    <xf numFmtId="43" fontId="0" fillId="0" borderId="0" xfId="0" applyNumberFormat="1"/>
    <xf numFmtId="0" fontId="2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0" fillId="9" borderId="0" xfId="0" applyFill="1"/>
    <xf numFmtId="0" fontId="2" fillId="10" borderId="0" xfId="0" applyFont="1" applyFill="1" applyAlignment="1">
      <alignment horizontal="center" vertical="center"/>
    </xf>
    <xf numFmtId="0" fontId="0" fillId="10" borderId="0" xfId="0" applyFill="1"/>
    <xf numFmtId="0" fontId="9" fillId="2" borderId="6" xfId="0" applyFont="1" applyFill="1" applyBorder="1" applyAlignment="1">
      <alignment horizontal="right" vertical="center"/>
    </xf>
    <xf numFmtId="0" fontId="9" fillId="2" borderId="2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right" vertical="center"/>
    </xf>
    <xf numFmtId="0" fontId="11" fillId="2" borderId="2" xfId="0" applyFont="1" applyFill="1" applyBorder="1" applyAlignment="1">
      <alignment horizontal="right" vertical="center"/>
    </xf>
    <xf numFmtId="0" fontId="9" fillId="2" borderId="7" xfId="0" applyFont="1" applyFill="1" applyBorder="1" applyAlignment="1">
      <alignment horizontal="right" vertical="center"/>
    </xf>
    <xf numFmtId="0" fontId="9" fillId="2" borderId="8" xfId="0" applyFont="1" applyFill="1" applyBorder="1" applyAlignment="1">
      <alignment horizontal="right" vertical="center"/>
    </xf>
    <xf numFmtId="0" fontId="9" fillId="2" borderId="3" xfId="0" applyFont="1" applyFill="1" applyBorder="1" applyAlignment="1">
      <alignment horizontal="right" vertical="center"/>
    </xf>
    <xf numFmtId="8" fontId="12" fillId="2" borderId="3" xfId="0" applyNumberFormat="1" applyFont="1" applyFill="1" applyBorder="1" applyAlignment="1">
      <alignment horizontal="right" vertical="center"/>
    </xf>
    <xf numFmtId="0" fontId="9" fillId="2" borderId="9" xfId="0" applyFont="1" applyFill="1" applyBorder="1" applyAlignment="1">
      <alignment horizontal="right" vertical="center"/>
    </xf>
    <xf numFmtId="0" fontId="9" fillId="3" borderId="6" xfId="0" applyFont="1" applyFill="1" applyBorder="1" applyAlignment="1">
      <alignment horizontal="right" vertical="center"/>
    </xf>
    <xf numFmtId="0" fontId="9" fillId="3" borderId="2" xfId="0" applyFont="1" applyFill="1" applyBorder="1" applyAlignment="1">
      <alignment horizontal="right" vertical="center"/>
    </xf>
    <xf numFmtId="0" fontId="10" fillId="3" borderId="2" xfId="0" applyFont="1" applyFill="1" applyBorder="1" applyAlignment="1">
      <alignment horizontal="right" vertical="center"/>
    </xf>
    <xf numFmtId="0" fontId="11" fillId="3" borderId="2" xfId="0" applyFont="1" applyFill="1" applyBorder="1" applyAlignment="1">
      <alignment horizontal="right" vertical="center"/>
    </xf>
    <xf numFmtId="0" fontId="9" fillId="3" borderId="7" xfId="0" applyFont="1" applyFill="1" applyBorder="1" applyAlignment="1">
      <alignment horizontal="right" vertical="center"/>
    </xf>
    <xf numFmtId="0" fontId="9" fillId="3" borderId="8" xfId="0" applyFont="1" applyFill="1" applyBorder="1" applyAlignment="1">
      <alignment horizontal="right" vertical="center"/>
    </xf>
    <xf numFmtId="0" fontId="9" fillId="3" borderId="3" xfId="0" applyFont="1" applyFill="1" applyBorder="1" applyAlignment="1">
      <alignment horizontal="right" vertical="center"/>
    </xf>
    <xf numFmtId="8" fontId="12" fillId="3" borderId="3" xfId="0" applyNumberFormat="1" applyFont="1" applyFill="1" applyBorder="1" applyAlignment="1">
      <alignment horizontal="right" vertical="center"/>
    </xf>
    <xf numFmtId="0" fontId="9" fillId="3" borderId="9" xfId="0" applyFont="1" applyFill="1" applyBorder="1" applyAlignment="1">
      <alignment horizontal="right" vertical="center"/>
    </xf>
    <xf numFmtId="0" fontId="9" fillId="5" borderId="6" xfId="0" applyFont="1" applyFill="1" applyBorder="1" applyAlignment="1">
      <alignment horizontal="right" vertical="center"/>
    </xf>
    <xf numFmtId="0" fontId="9" fillId="5" borderId="2" xfId="0" applyFont="1" applyFill="1" applyBorder="1" applyAlignment="1">
      <alignment horizontal="right" vertical="center"/>
    </xf>
    <xf numFmtId="0" fontId="10" fillId="5" borderId="2" xfId="0" applyFont="1" applyFill="1" applyBorder="1" applyAlignment="1">
      <alignment horizontal="right" vertical="center"/>
    </xf>
    <xf numFmtId="0" fontId="11" fillId="5" borderId="2" xfId="0" applyFont="1" applyFill="1" applyBorder="1" applyAlignment="1">
      <alignment horizontal="right" vertical="center"/>
    </xf>
    <xf numFmtId="0" fontId="9" fillId="5" borderId="7" xfId="0" applyFont="1" applyFill="1" applyBorder="1" applyAlignment="1">
      <alignment horizontal="right" vertical="center"/>
    </xf>
    <xf numFmtId="0" fontId="9" fillId="5" borderId="8" xfId="0" applyFont="1" applyFill="1" applyBorder="1" applyAlignment="1">
      <alignment horizontal="right" vertical="center"/>
    </xf>
    <xf numFmtId="0" fontId="9" fillId="5" borderId="3" xfId="0" applyFont="1" applyFill="1" applyBorder="1" applyAlignment="1">
      <alignment horizontal="right" vertical="center"/>
    </xf>
    <xf numFmtId="8" fontId="13" fillId="5" borderId="3" xfId="0" applyNumberFormat="1" applyFont="1" applyFill="1" applyBorder="1" applyAlignment="1">
      <alignment horizontal="right" vertical="center"/>
    </xf>
    <xf numFmtId="0" fontId="9" fillId="5" borderId="9" xfId="0" applyFont="1" applyFill="1" applyBorder="1" applyAlignment="1">
      <alignment horizontal="right" vertical="center"/>
    </xf>
    <xf numFmtId="0" fontId="12" fillId="3" borderId="3" xfId="0" applyFont="1" applyFill="1" applyBorder="1" applyAlignment="1">
      <alignment horizontal="right" vertical="center"/>
    </xf>
    <xf numFmtId="0" fontId="12" fillId="2" borderId="3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8" fontId="12" fillId="2" borderId="11" xfId="0" applyNumberFormat="1" applyFont="1" applyFill="1" applyBorder="1" applyAlignment="1">
      <alignment horizontal="right" vertical="center"/>
    </xf>
    <xf numFmtId="0" fontId="12" fillId="2" borderId="11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14" fontId="2" fillId="0" borderId="0" xfId="0" applyNumberFormat="1" applyFont="1"/>
    <xf numFmtId="10" fontId="15" fillId="2" borderId="2" xfId="0" applyNumberFormat="1" applyFont="1" applyFill="1" applyBorder="1" applyAlignment="1">
      <alignment horizontal="right" vertical="center"/>
    </xf>
    <xf numFmtId="10" fontId="15" fillId="2" borderId="3" xfId="0" applyNumberFormat="1" applyFont="1" applyFill="1" applyBorder="1" applyAlignment="1">
      <alignment horizontal="right" vertical="center"/>
    </xf>
    <xf numFmtId="10" fontId="15" fillId="3" borderId="2" xfId="0" applyNumberFormat="1" applyFont="1" applyFill="1" applyBorder="1" applyAlignment="1">
      <alignment horizontal="right" vertical="center"/>
    </xf>
    <xf numFmtId="10" fontId="15" fillId="3" borderId="3" xfId="0" applyNumberFormat="1" applyFont="1" applyFill="1" applyBorder="1" applyAlignment="1">
      <alignment horizontal="right" vertical="center"/>
    </xf>
    <xf numFmtId="10" fontId="15" fillId="5" borderId="2" xfId="0" applyNumberFormat="1" applyFont="1" applyFill="1" applyBorder="1" applyAlignment="1">
      <alignment horizontal="right" vertical="center"/>
    </xf>
    <xf numFmtId="10" fontId="15" fillId="5" borderId="3" xfId="0" applyNumberFormat="1" applyFont="1" applyFill="1" applyBorder="1" applyAlignment="1">
      <alignment horizontal="right" vertical="center"/>
    </xf>
    <xf numFmtId="10" fontId="15" fillId="2" borderId="11" xfId="0" applyNumberFormat="1" applyFont="1" applyFill="1" applyBorder="1" applyAlignment="1">
      <alignment horizontal="right" vertical="center"/>
    </xf>
    <xf numFmtId="0" fontId="15" fillId="2" borderId="2" xfId="0" applyFont="1" applyFill="1" applyBorder="1" applyAlignment="1">
      <alignment horizontal="right" vertical="center"/>
    </xf>
    <xf numFmtId="0" fontId="15" fillId="2" borderId="3" xfId="0" applyFont="1" applyFill="1" applyBorder="1" applyAlignment="1">
      <alignment horizontal="right" vertical="center"/>
    </xf>
    <xf numFmtId="0" fontId="15" fillId="3" borderId="2" xfId="0" applyFont="1" applyFill="1" applyBorder="1" applyAlignment="1">
      <alignment horizontal="right" vertical="center"/>
    </xf>
    <xf numFmtId="0" fontId="15" fillId="3" borderId="3" xfId="0" applyFont="1" applyFill="1" applyBorder="1" applyAlignment="1">
      <alignment horizontal="right" vertical="center"/>
    </xf>
    <xf numFmtId="0" fontId="15" fillId="2" borderId="11" xfId="0" applyFont="1" applyFill="1" applyBorder="1" applyAlignment="1">
      <alignment horizontal="right" vertical="center"/>
    </xf>
    <xf numFmtId="165" fontId="16" fillId="4" borderId="2" xfId="1" applyNumberFormat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6" fillId="5" borderId="2" xfId="1" applyNumberFormat="1" applyFont="1" applyFill="1" applyBorder="1" applyAlignment="1">
      <alignment horizontal="center" vertical="center"/>
    </xf>
    <xf numFmtId="165" fontId="16" fillId="5" borderId="3" xfId="1" applyNumberFormat="1" applyFont="1" applyFill="1" applyBorder="1" applyAlignment="1">
      <alignment horizontal="center" vertical="center"/>
    </xf>
    <xf numFmtId="165" fontId="16" fillId="4" borderId="11" xfId="1" applyNumberFormat="1" applyFont="1" applyFill="1" applyBorder="1" applyAlignment="1">
      <alignment horizontal="center" vertical="center"/>
    </xf>
    <xf numFmtId="165" fontId="2" fillId="0" borderId="0" xfId="1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165" fontId="6" fillId="5" borderId="0" xfId="1" applyNumberFormat="1" applyFont="1" applyFill="1"/>
    <xf numFmtId="0" fontId="2" fillId="11" borderId="0" xfId="0" applyFont="1" applyFill="1"/>
    <xf numFmtId="0" fontId="2" fillId="11" borderId="0" xfId="0" applyFont="1" applyFill="1" applyAlignment="1">
      <alignment horizontal="center" vertical="center"/>
    </xf>
    <xf numFmtId="0" fontId="0" fillId="11" borderId="0" xfId="0" applyFill="1"/>
    <xf numFmtId="0" fontId="2" fillId="11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165" fontId="2" fillId="8" borderId="0" xfId="1" applyNumberFormat="1" applyFont="1" applyFill="1"/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insights.deribit.com/education/introduction-to-option-greeks/" TargetMode="External"/><Relationship Id="rId1" Type="http://schemas.openxmlformats.org/officeDocument/2006/relationships/hyperlink" Target="https://blog.goodaudience.com/4-ways-to-hedge-out-your-cryptocurrency-exposure-e4d0d254df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9B33-BDF6-4D6C-B128-84CF88138233}">
  <sheetPr codeName="Sheet1"/>
  <dimension ref="B1:P29"/>
  <sheetViews>
    <sheetView workbookViewId="0"/>
  </sheetViews>
  <sheetFormatPr defaultRowHeight="14.4" x14ac:dyDescent="0.3"/>
  <cols>
    <col min="1" max="1" width="3.109375" customWidth="1"/>
    <col min="2" max="2" width="23" bestFit="1" customWidth="1"/>
    <col min="4" max="4" width="12.5546875" bestFit="1" customWidth="1"/>
    <col min="6" max="6" width="12.109375" customWidth="1"/>
  </cols>
  <sheetData>
    <row r="1" spans="2:5" x14ac:dyDescent="0.3">
      <c r="B1" s="1" t="s">
        <v>5</v>
      </c>
      <c r="D1" s="69">
        <v>44280</v>
      </c>
    </row>
    <row r="2" spans="2:5" x14ac:dyDescent="0.3">
      <c r="B2" s="1"/>
      <c r="D2" s="4"/>
    </row>
    <row r="3" spans="2:5" x14ac:dyDescent="0.3">
      <c r="B3" s="1" t="s">
        <v>56</v>
      </c>
      <c r="D3" s="13">
        <v>54675</v>
      </c>
    </row>
    <row r="4" spans="2:5" x14ac:dyDescent="0.3">
      <c r="B4" s="1"/>
      <c r="D4" s="4"/>
    </row>
    <row r="5" spans="2:5" x14ac:dyDescent="0.3">
      <c r="B5" s="1" t="s">
        <v>0</v>
      </c>
      <c r="D5" s="17">
        <v>0.2</v>
      </c>
    </row>
    <row r="6" spans="2:5" x14ac:dyDescent="0.3">
      <c r="B6" s="90" t="s">
        <v>49</v>
      </c>
      <c r="D6" s="3">
        <f>+Summary!D3*(1-Summary!D5)</f>
        <v>43740</v>
      </c>
    </row>
    <row r="8" spans="2:5" x14ac:dyDescent="0.3">
      <c r="B8" s="1"/>
      <c r="D8" s="4"/>
    </row>
    <row r="9" spans="2:5" x14ac:dyDescent="0.3">
      <c r="B9" s="1" t="s">
        <v>1</v>
      </c>
      <c r="D9" s="2">
        <f>+D24-D1</f>
        <v>36</v>
      </c>
    </row>
    <row r="10" spans="2:5" x14ac:dyDescent="0.3">
      <c r="B10" s="1"/>
      <c r="D10" s="2"/>
    </row>
    <row r="11" spans="2:5" x14ac:dyDescent="0.3">
      <c r="D11" s="21" t="s">
        <v>57</v>
      </c>
      <c r="E11" s="21" t="s">
        <v>58</v>
      </c>
    </row>
    <row r="12" spans="2:5" x14ac:dyDescent="0.3">
      <c r="B12" s="1" t="s">
        <v>38</v>
      </c>
      <c r="D12" s="92">
        <v>1000000</v>
      </c>
      <c r="E12" s="20">
        <f>+D12/D3</f>
        <v>18.289894833104711</v>
      </c>
    </row>
    <row r="13" spans="2:5" x14ac:dyDescent="0.3">
      <c r="B13" s="1"/>
      <c r="D13" s="15"/>
    </row>
    <row r="14" spans="2:5" x14ac:dyDescent="0.3">
      <c r="B14" s="1"/>
      <c r="D14" s="21" t="s">
        <v>57</v>
      </c>
      <c r="E14" s="21" t="s">
        <v>58</v>
      </c>
    </row>
    <row r="15" spans="2:5" x14ac:dyDescent="0.3">
      <c r="B15" s="1" t="s">
        <v>41</v>
      </c>
      <c r="D15" s="16">
        <f>+D5*D12</f>
        <v>200000</v>
      </c>
      <c r="E15" s="20">
        <f>+D15/D3</f>
        <v>3.6579789666209419</v>
      </c>
    </row>
    <row r="18" spans="2:16" x14ac:dyDescent="0.3">
      <c r="B18" t="s">
        <v>68</v>
      </c>
      <c r="D18" s="18" t="s">
        <v>42</v>
      </c>
    </row>
    <row r="19" spans="2:16" x14ac:dyDescent="0.3">
      <c r="B19" t="s">
        <v>69</v>
      </c>
      <c r="D19" s="18" t="s">
        <v>67</v>
      </c>
    </row>
    <row r="20" spans="2:16" x14ac:dyDescent="0.3">
      <c r="B20" s="18"/>
    </row>
    <row r="22" spans="2:16" x14ac:dyDescent="0.3">
      <c r="B22" s="1" t="s">
        <v>2</v>
      </c>
      <c r="D22" s="1" t="s">
        <v>3</v>
      </c>
      <c r="F22" s="1" t="s">
        <v>4</v>
      </c>
      <c r="H22" s="1" t="s">
        <v>59</v>
      </c>
      <c r="M22" s="1"/>
      <c r="P22" s="1"/>
    </row>
    <row r="24" spans="2:16" x14ac:dyDescent="0.3">
      <c r="B24" s="1" t="s">
        <v>6</v>
      </c>
      <c r="D24" s="4">
        <v>44316</v>
      </c>
    </row>
    <row r="26" spans="2:16" x14ac:dyDescent="0.3">
      <c r="B26" s="1" t="s">
        <v>35</v>
      </c>
      <c r="D26" s="14" t="s">
        <v>39</v>
      </c>
      <c r="F26" s="91" t="s">
        <v>37</v>
      </c>
    </row>
    <row r="27" spans="2:16" x14ac:dyDescent="0.3">
      <c r="F27" s="91"/>
    </row>
    <row r="28" spans="2:16" x14ac:dyDescent="0.3">
      <c r="B28" s="1" t="s">
        <v>36</v>
      </c>
      <c r="D28" s="14" t="s">
        <v>40</v>
      </c>
      <c r="F28" s="91" t="s">
        <v>37</v>
      </c>
    </row>
    <row r="29" spans="2:16" x14ac:dyDescent="0.3">
      <c r="F29" s="91"/>
    </row>
  </sheetData>
  <hyperlinks>
    <hyperlink ref="D18" r:id="rId1" xr:uid="{92CED9F1-37E1-46AD-A001-73EF0809A10B}"/>
    <hyperlink ref="D19" r:id="rId2" xr:uid="{B4FEB01A-D3A9-498E-8C0C-45396652B39D}"/>
  </hyperlinks>
  <pageMargins left="0.7" right="0.7" top="0.75" bottom="0.75" header="0.3" footer="0.3"/>
  <pageSetup orientation="portrait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B7486-E5C0-4A99-9692-D84FF7334BF1}">
  <sheetPr codeName="Sheet2"/>
  <dimension ref="B1:AZ1048575"/>
  <sheetViews>
    <sheetView showGridLines="0" tabSelected="1" topLeftCell="L1" zoomScale="70" zoomScaleNormal="70" workbookViewId="0">
      <selection activeCell="Z14" sqref="Z14:Z15"/>
    </sheetView>
  </sheetViews>
  <sheetFormatPr defaultRowHeight="14.4" x14ac:dyDescent="0.3"/>
  <cols>
    <col min="1" max="1" width="4.44140625" customWidth="1"/>
    <col min="2" max="2" width="21.88671875" bestFit="1" customWidth="1"/>
    <col min="3" max="3" width="21.5546875" bestFit="1" customWidth="1"/>
    <col min="4" max="4" width="21.5546875" customWidth="1"/>
    <col min="5" max="5" width="29.44140625" customWidth="1"/>
    <col min="6" max="9" width="35.88671875" customWidth="1"/>
    <col min="10" max="10" width="16.6640625" customWidth="1"/>
    <col min="11" max="11" width="10.5546875" bestFit="1" customWidth="1"/>
    <col min="14" max="14" width="15.21875" customWidth="1"/>
    <col min="15" max="15" width="13.33203125" customWidth="1"/>
    <col min="16" max="16" width="3.6640625" customWidth="1"/>
    <col min="17" max="17" width="6.21875" customWidth="1"/>
    <col min="18" max="18" width="10.88671875" customWidth="1"/>
    <col min="19" max="20" width="9.21875" bestFit="1" customWidth="1"/>
    <col min="21" max="22" width="11.6640625" bestFit="1" customWidth="1"/>
    <col min="23" max="25" width="9.21875" bestFit="1" customWidth="1"/>
    <col min="26" max="26" width="14.6640625" customWidth="1"/>
    <col min="27" max="27" width="11.21875" customWidth="1"/>
    <col min="28" max="30" width="9.21875" bestFit="1" customWidth="1"/>
    <col min="31" max="32" width="11.6640625" bestFit="1" customWidth="1"/>
    <col min="33" max="36" width="9.21875" bestFit="1" customWidth="1"/>
    <col min="37" max="37" width="7.44140625" customWidth="1"/>
    <col min="38" max="38" width="3" customWidth="1"/>
    <col min="40" max="40" width="6.33203125" customWidth="1"/>
    <col min="41" max="41" width="13.5546875" bestFit="1" customWidth="1"/>
    <col min="44" max="44" width="33" customWidth="1"/>
    <col min="45" max="45" width="21.109375" bestFit="1" customWidth="1"/>
    <col min="46" max="46" width="13" customWidth="1"/>
    <col min="47" max="47" width="28.88671875" bestFit="1" customWidth="1"/>
    <col min="48" max="48" width="25.21875" customWidth="1"/>
    <col min="49" max="49" width="26.109375" customWidth="1"/>
    <col min="50" max="50" width="10.5546875" customWidth="1"/>
    <col min="51" max="51" width="20.88671875" customWidth="1"/>
    <col min="52" max="52" width="22.33203125" customWidth="1"/>
  </cols>
  <sheetData>
    <row r="1" spans="2:52" x14ac:dyDescent="0.3">
      <c r="Y1" s="1" t="str">
        <f>Summary!B3</f>
        <v>BTC Price USD</v>
      </c>
      <c r="AA1" s="98">
        <f>Summary!D3</f>
        <v>54675</v>
      </c>
    </row>
    <row r="2" spans="2:52" x14ac:dyDescent="0.3">
      <c r="B2" s="96" t="s">
        <v>61</v>
      </c>
      <c r="C2" s="96"/>
      <c r="D2" s="96"/>
      <c r="E2" s="96"/>
      <c r="F2" s="97" t="s">
        <v>62</v>
      </c>
      <c r="G2" s="97"/>
      <c r="H2" s="97"/>
      <c r="I2" s="97"/>
      <c r="J2" s="97"/>
      <c r="Y2" s="90" t="str">
        <f>Summary!B6</f>
        <v>BTC Price - 20%</v>
      </c>
      <c r="AA2" s="87">
        <f>Summary!D6</f>
        <v>43740</v>
      </c>
      <c r="AR2" s="96" t="s">
        <v>61</v>
      </c>
      <c r="AS2" s="96"/>
      <c r="AT2" s="96"/>
      <c r="AU2" s="96"/>
      <c r="AV2" s="97" t="s">
        <v>62</v>
      </c>
      <c r="AW2" s="97"/>
      <c r="AX2" s="97"/>
      <c r="AY2" s="97"/>
      <c r="AZ2" s="97"/>
    </row>
    <row r="3" spans="2:52" ht="15.6" x14ac:dyDescent="0.3">
      <c r="AA3" s="88" t="s">
        <v>55</v>
      </c>
    </row>
    <row r="4" spans="2:52" ht="16.2" thickBot="1" x14ac:dyDescent="0.35">
      <c r="B4" s="93" t="s">
        <v>46</v>
      </c>
      <c r="C4" s="93" t="s">
        <v>47</v>
      </c>
      <c r="D4" s="94" t="str">
        <f>+Z5</f>
        <v>Δ|Delta</v>
      </c>
      <c r="E4" s="93" t="s">
        <v>48</v>
      </c>
      <c r="F4" s="25" t="s">
        <v>54</v>
      </c>
      <c r="G4" s="25"/>
      <c r="H4" s="25"/>
      <c r="I4" s="27" t="s">
        <v>52</v>
      </c>
      <c r="J4" s="29" t="s">
        <v>60</v>
      </c>
      <c r="N4" s="1" t="s">
        <v>44</v>
      </c>
      <c r="O4" s="1" t="s">
        <v>31</v>
      </c>
      <c r="P4" s="1"/>
      <c r="R4" s="1" t="s">
        <v>16</v>
      </c>
      <c r="AA4" s="89">
        <v>44316</v>
      </c>
      <c r="AJ4" s="1" t="s">
        <v>17</v>
      </c>
      <c r="AM4" s="1" t="s">
        <v>31</v>
      </c>
      <c r="AO4" s="1" t="s">
        <v>44</v>
      </c>
      <c r="AR4" s="93" t="s">
        <v>64</v>
      </c>
      <c r="AS4" s="93" t="s">
        <v>63</v>
      </c>
      <c r="AT4" s="94" t="str">
        <f>+AJ5</f>
        <v>Δ|Delta</v>
      </c>
      <c r="AU4" s="93" t="s">
        <v>66</v>
      </c>
      <c r="AV4" s="25" t="s">
        <v>54</v>
      </c>
      <c r="AW4" s="25"/>
      <c r="AX4" s="25"/>
      <c r="AY4" s="27" t="s">
        <v>52</v>
      </c>
      <c r="AZ4" s="29" t="s">
        <v>60</v>
      </c>
    </row>
    <row r="5" spans="2:52" ht="15" thickBot="1" x14ac:dyDescent="0.35">
      <c r="B5" s="95"/>
      <c r="C5" s="95"/>
      <c r="D5" s="95"/>
      <c r="E5" s="95"/>
      <c r="F5" s="26" t="s">
        <v>50</v>
      </c>
      <c r="G5" s="26" t="s">
        <v>51</v>
      </c>
      <c r="H5" s="26" t="s">
        <v>53</v>
      </c>
      <c r="I5" s="28"/>
      <c r="J5" s="30"/>
      <c r="R5" s="65" t="s">
        <v>7</v>
      </c>
      <c r="S5" s="66" t="s">
        <v>8</v>
      </c>
      <c r="T5" s="66" t="s">
        <v>9</v>
      </c>
      <c r="U5" s="66" t="s">
        <v>10</v>
      </c>
      <c r="V5" s="66" t="s">
        <v>11</v>
      </c>
      <c r="W5" s="66" t="s">
        <v>9</v>
      </c>
      <c r="X5" s="66" t="s">
        <v>8</v>
      </c>
      <c r="Y5" s="66" t="s">
        <v>12</v>
      </c>
      <c r="Z5" s="66" t="s">
        <v>13</v>
      </c>
      <c r="AA5" s="67" t="s">
        <v>14</v>
      </c>
      <c r="AB5" s="66" t="s">
        <v>7</v>
      </c>
      <c r="AC5" s="66" t="s">
        <v>8</v>
      </c>
      <c r="AD5" s="66" t="s">
        <v>9</v>
      </c>
      <c r="AE5" s="66" t="s">
        <v>10</v>
      </c>
      <c r="AF5" s="66" t="s">
        <v>11</v>
      </c>
      <c r="AG5" s="66" t="s">
        <v>9</v>
      </c>
      <c r="AH5" s="66" t="s">
        <v>8</v>
      </c>
      <c r="AI5" s="66" t="s">
        <v>12</v>
      </c>
      <c r="AJ5" s="68" t="s">
        <v>13</v>
      </c>
      <c r="AR5" s="95"/>
      <c r="AS5" s="95"/>
      <c r="AT5" s="95"/>
      <c r="AU5" s="95"/>
      <c r="AV5" s="26" t="s">
        <v>65</v>
      </c>
      <c r="AW5" s="26" t="s">
        <v>51</v>
      </c>
      <c r="AX5" s="26" t="s">
        <v>53</v>
      </c>
      <c r="AY5" s="28"/>
      <c r="AZ5" s="30"/>
    </row>
    <row r="6" spans="2:52" x14ac:dyDescent="0.3">
      <c r="B6" s="3">
        <f>+Summary!$D$15</f>
        <v>200000</v>
      </c>
      <c r="C6" s="20">
        <f>+B6/Summary!$D$3</f>
        <v>3.6579789666209419</v>
      </c>
      <c r="D6" s="20">
        <f>+Z6</f>
        <v>0.99</v>
      </c>
      <c r="E6" s="3">
        <f>+C6/D6</f>
        <v>3.6949282491120625</v>
      </c>
      <c r="F6" s="22">
        <f>+(U7+V7)/2*$E6</f>
        <v>134106.40469625383</v>
      </c>
      <c r="G6" s="10">
        <f>+-E6*(MAX(0,Summary!$D$6-AA6))</f>
        <v>-87717.596633920359</v>
      </c>
      <c r="H6" s="3">
        <f>+F6+G6</f>
        <v>46388.808062333468</v>
      </c>
      <c r="I6" s="10">
        <f>+-$B$6</f>
        <v>-200000</v>
      </c>
      <c r="J6" s="10">
        <f>+I6+H6</f>
        <v>-153611.19193766653</v>
      </c>
      <c r="N6" s="87">
        <f>+(V7+U7)/2-O6</f>
        <v>1619.7250000000058</v>
      </c>
      <c r="O6" s="11">
        <f>+MAX(-AA6+Summary!$D$3,0)</f>
        <v>34675</v>
      </c>
      <c r="P6" s="11"/>
      <c r="R6" s="31">
        <v>0.65449999999999997</v>
      </c>
      <c r="S6" s="32">
        <v>9</v>
      </c>
      <c r="T6" s="70">
        <v>0</v>
      </c>
      <c r="U6" s="33">
        <v>0.64149999999999996</v>
      </c>
      <c r="V6" s="34">
        <v>0.65700000000000003</v>
      </c>
      <c r="W6" s="70">
        <v>2.2989999999999999</v>
      </c>
      <c r="X6" s="32">
        <v>9</v>
      </c>
      <c r="Y6" s="32">
        <v>0.2</v>
      </c>
      <c r="Z6" s="32">
        <v>0.99</v>
      </c>
      <c r="AA6" s="82">
        <v>20000</v>
      </c>
      <c r="AB6" s="32">
        <v>5.0000000000000001E-4</v>
      </c>
      <c r="AC6" s="32">
        <v>0.5</v>
      </c>
      <c r="AD6" s="70">
        <v>1.4219999999999999</v>
      </c>
      <c r="AE6" s="33">
        <v>1E-3</v>
      </c>
      <c r="AF6" s="34">
        <v>2E-3</v>
      </c>
      <c r="AG6" s="70">
        <v>1.5669999999999999</v>
      </c>
      <c r="AH6" s="32">
        <v>95.5</v>
      </c>
      <c r="AI6" s="32">
        <v>11.6</v>
      </c>
      <c r="AJ6" s="35">
        <v>-0.01</v>
      </c>
      <c r="AM6" s="11">
        <f>+MAX(AA6-Summary!$D$3,0)</f>
        <v>0</v>
      </c>
      <c r="AO6" s="87">
        <f>+(AF7+AE7)/2-AM6</f>
        <v>83.91</v>
      </c>
      <c r="AR6" s="10">
        <f>+B6</f>
        <v>200000</v>
      </c>
      <c r="AS6" s="2">
        <f>+AR6/Summary!$D$3</f>
        <v>3.6579789666209419</v>
      </c>
      <c r="AT6">
        <f>+AJ6</f>
        <v>-0.01</v>
      </c>
      <c r="AU6" s="3">
        <f>+AS6/AT6</f>
        <v>-365.79789666209416</v>
      </c>
      <c r="AV6" s="20">
        <f>+(AE7+AF7)/2*AU6</f>
        <v>-30694.101508916319</v>
      </c>
      <c r="AW6">
        <f>+-AU6*(MAX(0,AA6-Summary!$D$6))</f>
        <v>0</v>
      </c>
      <c r="AX6" s="3">
        <f>+AV6+AW6</f>
        <v>-30694.101508916319</v>
      </c>
      <c r="AY6" s="10">
        <f>+I6</f>
        <v>-200000</v>
      </c>
      <c r="AZ6" s="10">
        <f>++AY6+AX6</f>
        <v>-230694.10150891633</v>
      </c>
    </row>
    <row r="7" spans="2:52" ht="15" thickBot="1" x14ac:dyDescent="0.35">
      <c r="E7" s="2"/>
      <c r="G7" s="20"/>
      <c r="N7" s="87"/>
      <c r="O7" s="12"/>
      <c r="P7" s="12"/>
      <c r="R7" s="36"/>
      <c r="S7" s="37"/>
      <c r="T7" s="71"/>
      <c r="U7" s="38">
        <v>35861.480000000003</v>
      </c>
      <c r="V7" s="38">
        <v>36727.97</v>
      </c>
      <c r="W7" s="71"/>
      <c r="X7" s="37"/>
      <c r="Y7" s="37"/>
      <c r="Z7" s="37"/>
      <c r="AA7" s="83"/>
      <c r="AB7" s="37"/>
      <c r="AC7" s="37"/>
      <c r="AD7" s="71"/>
      <c r="AE7" s="38">
        <v>55.94</v>
      </c>
      <c r="AF7" s="38">
        <v>111.88</v>
      </c>
      <c r="AG7" s="71"/>
      <c r="AH7" s="37"/>
      <c r="AI7" s="37"/>
      <c r="AJ7" s="39"/>
      <c r="AM7" s="12"/>
    </row>
    <row r="8" spans="2:52" x14ac:dyDescent="0.3">
      <c r="B8" s="3">
        <f>+Summary!$D$15</f>
        <v>200000</v>
      </c>
      <c r="C8" s="20">
        <f>+B8/Summary!$D$3</f>
        <v>3.6579789666209419</v>
      </c>
      <c r="D8" s="20">
        <f>+Z8</f>
        <v>0.99</v>
      </c>
      <c r="E8" s="3">
        <f>+C8/D8</f>
        <v>3.6949282491120625</v>
      </c>
      <c r="F8" s="22">
        <f>+(U9+V9)/2*$E8</f>
        <v>119280.00628137802</v>
      </c>
      <c r="G8" s="10">
        <f>+-E8*(MAX(0,Summary!$D$6-AA8))</f>
        <v>-72937.883637472114</v>
      </c>
      <c r="H8" s="10">
        <f>+F8+G8</f>
        <v>46342.12264390591</v>
      </c>
      <c r="I8" s="10">
        <f>+-$B$6</f>
        <v>-200000</v>
      </c>
      <c r="J8" s="10">
        <f>+I8+H8</f>
        <v>-153657.87735609408</v>
      </c>
      <c r="N8" s="87">
        <f>+(V9+U9)/2-O8</f>
        <v>1607.0900000000001</v>
      </c>
      <c r="O8" s="11">
        <f>+MAX(-AA8+Summary!$D$3,0)</f>
        <v>30675</v>
      </c>
      <c r="P8" s="11"/>
      <c r="R8" s="40">
        <v>0.58699999999999997</v>
      </c>
      <c r="S8" s="41">
        <v>9</v>
      </c>
      <c r="T8" s="72">
        <v>0</v>
      </c>
      <c r="U8" s="42">
        <v>0.57099999999999995</v>
      </c>
      <c r="V8" s="43">
        <v>0.58250000000000002</v>
      </c>
      <c r="W8" s="72">
        <v>1.8140000000000001</v>
      </c>
      <c r="X8" s="41">
        <v>9</v>
      </c>
      <c r="Y8" s="41">
        <v>9.1999999999999993</v>
      </c>
      <c r="Z8" s="41">
        <v>0.99</v>
      </c>
      <c r="AA8" s="82">
        <v>24000</v>
      </c>
      <c r="AB8" s="41">
        <v>1.5E-3</v>
      </c>
      <c r="AC8" s="41">
        <v>65.099999999999994</v>
      </c>
      <c r="AD8" s="72">
        <v>1.3080000000000001</v>
      </c>
      <c r="AE8" s="42">
        <v>2E-3</v>
      </c>
      <c r="AF8" s="43">
        <v>3.0000000000000001E-3</v>
      </c>
      <c r="AG8" s="72">
        <v>1.3959999999999999</v>
      </c>
      <c r="AH8" s="41">
        <v>30</v>
      </c>
      <c r="AI8" s="41">
        <v>71.400000000000006</v>
      </c>
      <c r="AJ8" s="44">
        <v>-0.01</v>
      </c>
      <c r="AM8" s="11">
        <f>+MAX(AA8-Summary!$D$3,0)</f>
        <v>0</v>
      </c>
      <c r="AO8" s="87">
        <f>+(AF9+AE9)/2-AM8</f>
        <v>139.875</v>
      </c>
      <c r="AR8" s="10">
        <f>+B8</f>
        <v>200000</v>
      </c>
      <c r="AS8" s="2">
        <f>+AR8/Summary!$D$3</f>
        <v>3.6579789666209419</v>
      </c>
      <c r="AT8">
        <f>+AJ8</f>
        <v>-0.01</v>
      </c>
      <c r="AU8" s="3">
        <f>+AS8/AT8</f>
        <v>-365.79789666209416</v>
      </c>
      <c r="AV8" s="20">
        <f>+(AE9+AF9)/2*AU8</f>
        <v>-51165.98079561042</v>
      </c>
      <c r="AW8">
        <f>+-AU8*(MAX(0,AA8-Summary!$D$6))</f>
        <v>0</v>
      </c>
      <c r="AX8" s="3">
        <f>+AV8+AW8</f>
        <v>-51165.98079561042</v>
      </c>
      <c r="AY8" s="10">
        <f>+I8</f>
        <v>-200000</v>
      </c>
      <c r="AZ8" s="10">
        <f>++AY8+AX8</f>
        <v>-251165.98079561041</v>
      </c>
    </row>
    <row r="9" spans="2:52" ht="15" thickBot="1" x14ac:dyDescent="0.35">
      <c r="E9" s="2"/>
      <c r="N9" s="87"/>
      <c r="O9" s="12"/>
      <c r="P9" s="12"/>
      <c r="R9" s="45"/>
      <c r="S9" s="46"/>
      <c r="T9" s="73"/>
      <c r="U9" s="47">
        <v>31960.25</v>
      </c>
      <c r="V9" s="47">
        <v>32603.93</v>
      </c>
      <c r="W9" s="73"/>
      <c r="X9" s="46"/>
      <c r="Y9" s="46"/>
      <c r="Z9" s="46"/>
      <c r="AA9" s="83"/>
      <c r="AB9" s="46"/>
      <c r="AC9" s="46"/>
      <c r="AD9" s="73"/>
      <c r="AE9" s="47">
        <v>111.9</v>
      </c>
      <c r="AF9" s="47">
        <v>167.85</v>
      </c>
      <c r="AG9" s="73"/>
      <c r="AH9" s="46"/>
      <c r="AI9" s="46"/>
      <c r="AJ9" s="48"/>
      <c r="AM9" s="12"/>
    </row>
    <row r="10" spans="2:52" x14ac:dyDescent="0.3">
      <c r="B10" s="3">
        <f>+Summary!$D$15</f>
        <v>200000</v>
      </c>
      <c r="C10" s="20">
        <f>+B10/Summary!$D$3</f>
        <v>3.6579789666209419</v>
      </c>
      <c r="D10" s="20">
        <f>+Z10</f>
        <v>0.97</v>
      </c>
      <c r="E10" s="3">
        <f>+C10/D10</f>
        <v>3.7711123367226205</v>
      </c>
      <c r="F10" s="22">
        <f>+(U11+V11)/2*$E10</f>
        <v>107174.99375409519</v>
      </c>
      <c r="G10" s="10">
        <f>+-E10*(MAX(0,Summary!$D$6-AA10))</f>
        <v>-59357.30818001405</v>
      </c>
      <c r="H10" s="10">
        <f>+F10+G10</f>
        <v>47817.685574081144</v>
      </c>
      <c r="I10" s="10">
        <f>+-$B$6</f>
        <v>-200000</v>
      </c>
      <c r="J10" s="10">
        <f>+I10+H10</f>
        <v>-152182.31442591886</v>
      </c>
      <c r="N10" s="87">
        <f>+(V11+U11)/2-O10</f>
        <v>1744.9950000000026</v>
      </c>
      <c r="O10" s="11">
        <f>+MAX(-AA10+Summary!$D$3,0)</f>
        <v>26675</v>
      </c>
      <c r="P10" s="11"/>
      <c r="R10" s="31" t="s">
        <v>15</v>
      </c>
      <c r="S10" s="32">
        <v>8</v>
      </c>
      <c r="T10" s="70">
        <v>1.016</v>
      </c>
      <c r="U10" s="33">
        <v>0.501</v>
      </c>
      <c r="V10" s="34">
        <v>0.51449999999999996</v>
      </c>
      <c r="W10" s="70">
        <v>1.629</v>
      </c>
      <c r="X10" s="32">
        <v>8</v>
      </c>
      <c r="Y10" s="32" t="s">
        <v>15</v>
      </c>
      <c r="Z10" s="32">
        <v>0.97</v>
      </c>
      <c r="AA10" s="82">
        <v>28000</v>
      </c>
      <c r="AB10" s="32">
        <v>2.5000000000000001E-3</v>
      </c>
      <c r="AC10" s="32">
        <v>90.5</v>
      </c>
      <c r="AD10" s="70">
        <v>1.1970000000000001</v>
      </c>
      <c r="AE10" s="33">
        <v>3.5000000000000001E-3</v>
      </c>
      <c r="AF10" s="34">
        <v>5.4999999999999997E-3</v>
      </c>
      <c r="AG10" s="70">
        <v>1.3029999999999999</v>
      </c>
      <c r="AH10" s="32">
        <v>90</v>
      </c>
      <c r="AI10" s="32">
        <v>10</v>
      </c>
      <c r="AJ10" s="35">
        <v>-0.03</v>
      </c>
      <c r="AM10" s="11">
        <f>+MAX(AA10-Summary!$D$3,0)</f>
        <v>0</v>
      </c>
      <c r="AO10" s="87">
        <f>+(AF11+AE11)/2-AM10</f>
        <v>251.84</v>
      </c>
      <c r="AR10" s="10">
        <f>+B10</f>
        <v>200000</v>
      </c>
      <c r="AS10" s="2">
        <f>+AR10/Summary!$D$3</f>
        <v>3.6579789666209419</v>
      </c>
      <c r="AT10">
        <f>+AJ10</f>
        <v>-0.03</v>
      </c>
      <c r="AU10" s="3">
        <f>+AS10/AT10</f>
        <v>-121.93263222069807</v>
      </c>
      <c r="AV10" s="20">
        <f>+(AE11+AF11)/2*AU10</f>
        <v>-30707.514098460601</v>
      </c>
      <c r="AW10">
        <f>+-AU10*(MAX(0,AA10-Summary!$D$6))</f>
        <v>0</v>
      </c>
      <c r="AX10" s="3">
        <f>+AV10+AW10</f>
        <v>-30707.514098460601</v>
      </c>
      <c r="AY10" s="10">
        <f>+I10</f>
        <v>-200000</v>
      </c>
      <c r="AZ10" s="10">
        <f>++AY10+AX10</f>
        <v>-230707.51409846061</v>
      </c>
    </row>
    <row r="11" spans="2:52" ht="15" thickBot="1" x14ac:dyDescent="0.35">
      <c r="E11" s="2"/>
      <c r="N11" s="87"/>
      <c r="O11" s="12"/>
      <c r="P11" s="12"/>
      <c r="R11" s="36"/>
      <c r="S11" s="37"/>
      <c r="T11" s="71"/>
      <c r="U11" s="38">
        <v>28042.18</v>
      </c>
      <c r="V11" s="38">
        <v>28797.81</v>
      </c>
      <c r="W11" s="71"/>
      <c r="X11" s="37"/>
      <c r="Y11" s="37"/>
      <c r="Z11" s="37"/>
      <c r="AA11" s="83"/>
      <c r="AB11" s="37"/>
      <c r="AC11" s="37"/>
      <c r="AD11" s="71"/>
      <c r="AE11" s="38">
        <v>195.88</v>
      </c>
      <c r="AF11" s="38">
        <v>307.8</v>
      </c>
      <c r="AG11" s="71"/>
      <c r="AH11" s="37"/>
      <c r="AI11" s="37"/>
      <c r="AJ11" s="39"/>
      <c r="AM11" s="12"/>
    </row>
    <row r="12" spans="2:52" x14ac:dyDescent="0.3">
      <c r="B12" s="3">
        <f>+Summary!$D$15</f>
        <v>200000</v>
      </c>
      <c r="C12" s="20">
        <f>+B12/Summary!$D$3</f>
        <v>3.6579789666209419</v>
      </c>
      <c r="D12" s="20">
        <f>+Z12</f>
        <v>0.96</v>
      </c>
      <c r="E12" s="3">
        <f>+C12/D12</f>
        <v>3.8103947568968146</v>
      </c>
      <c r="F12" s="22">
        <f>+(U13+V13)/2*$E12</f>
        <v>92461.686480719407</v>
      </c>
      <c r="G12" s="10">
        <f>+-E12*(MAX(0,Summary!$D$6-AA12))</f>
        <v>-44734.034445968602</v>
      </c>
      <c r="H12" s="10">
        <f>+F12+G12</f>
        <v>47727.652034750805</v>
      </c>
      <c r="I12" s="10">
        <f>+-$B$6</f>
        <v>-200000</v>
      </c>
      <c r="J12" s="10">
        <f>+I12+H12</f>
        <v>-152272.34796524921</v>
      </c>
      <c r="N12" s="87">
        <f>+(V13+U13)/2-O12</f>
        <v>1590.6450000000004</v>
      </c>
      <c r="O12" s="11">
        <f>+MAX(-AA12+Summary!$D$3,0)</f>
        <v>22675</v>
      </c>
      <c r="P12" s="11"/>
      <c r="R12" s="40">
        <v>0.47849999999999998</v>
      </c>
      <c r="S12" s="41">
        <v>7</v>
      </c>
      <c r="T12" s="72">
        <v>0</v>
      </c>
      <c r="U12" s="42">
        <v>0.42099999999999999</v>
      </c>
      <c r="V12" s="43">
        <v>0.44650000000000001</v>
      </c>
      <c r="W12" s="72">
        <v>1.452</v>
      </c>
      <c r="X12" s="41">
        <v>7</v>
      </c>
      <c r="Y12" s="41" t="s">
        <v>15</v>
      </c>
      <c r="Z12" s="41">
        <v>0.96</v>
      </c>
      <c r="AA12" s="82">
        <v>32000</v>
      </c>
      <c r="AB12" s="41">
        <v>6.4999999999999997E-3</v>
      </c>
      <c r="AC12" s="41">
        <v>30.7</v>
      </c>
      <c r="AD12" s="72">
        <v>1.1020000000000001</v>
      </c>
      <c r="AE12" s="42">
        <v>6.0000000000000001E-3</v>
      </c>
      <c r="AF12" s="43">
        <v>7.4999999999999997E-3</v>
      </c>
      <c r="AG12" s="72">
        <v>1.1559999999999999</v>
      </c>
      <c r="AH12" s="41">
        <v>51.3</v>
      </c>
      <c r="AI12" s="41">
        <v>26.3</v>
      </c>
      <c r="AJ12" s="44">
        <v>-0.04</v>
      </c>
      <c r="AM12" s="11">
        <f>+MAX(AA12-Summary!$D$3,0)</f>
        <v>0</v>
      </c>
      <c r="AO12" s="87">
        <f>+(AF13+AE13)/2-AM12</f>
        <v>377.71500000000003</v>
      </c>
      <c r="AR12" s="10">
        <f>+B12</f>
        <v>200000</v>
      </c>
      <c r="AS12" s="2">
        <f>+AR12/Summary!$D$3</f>
        <v>3.6579789666209419</v>
      </c>
      <c r="AT12">
        <f>+AJ12</f>
        <v>-0.04</v>
      </c>
      <c r="AU12" s="3">
        <f>+AS12/AT12</f>
        <v>-91.44947416552354</v>
      </c>
      <c r="AV12" s="20">
        <f>+(AE13+AF13)/2*AU12</f>
        <v>-34541.838134430727</v>
      </c>
      <c r="AW12">
        <f>+-AU12*(MAX(0,AA12-Summary!$D$6))</f>
        <v>0</v>
      </c>
      <c r="AX12" s="3">
        <f>+AV12+AW12</f>
        <v>-34541.838134430727</v>
      </c>
      <c r="AY12" s="10">
        <f>+I12</f>
        <v>-200000</v>
      </c>
      <c r="AZ12" s="10">
        <f>++AY12+AX12</f>
        <v>-234541.83813443073</v>
      </c>
    </row>
    <row r="13" spans="2:52" ht="15" thickBot="1" x14ac:dyDescent="0.35">
      <c r="E13" s="2"/>
      <c r="N13" s="87"/>
      <c r="O13" s="12"/>
      <c r="P13" s="12"/>
      <c r="R13" s="45"/>
      <c r="S13" s="46"/>
      <c r="T13" s="73"/>
      <c r="U13" s="47">
        <v>23552.36</v>
      </c>
      <c r="V13" s="47">
        <v>24978.93</v>
      </c>
      <c r="W13" s="73"/>
      <c r="X13" s="46"/>
      <c r="Y13" s="46"/>
      <c r="Z13" s="46"/>
      <c r="AA13" s="83"/>
      <c r="AB13" s="46"/>
      <c r="AC13" s="46"/>
      <c r="AD13" s="73"/>
      <c r="AE13" s="47">
        <v>335.75</v>
      </c>
      <c r="AF13" s="47">
        <v>419.68</v>
      </c>
      <c r="AG13" s="73"/>
      <c r="AH13" s="46"/>
      <c r="AI13" s="46"/>
      <c r="AJ13" s="48"/>
      <c r="AM13" s="12"/>
    </row>
    <row r="14" spans="2:52" x14ac:dyDescent="0.3">
      <c r="B14" s="3">
        <f>+Summary!$D$15</f>
        <v>200000</v>
      </c>
      <c r="C14" s="20">
        <f>+B14/Summary!$D$3</f>
        <v>3.6579789666209419</v>
      </c>
      <c r="D14" s="20">
        <f>+Z14</f>
        <v>0.94</v>
      </c>
      <c r="E14" s="3">
        <f>+C14/D14</f>
        <v>3.8914669857669595</v>
      </c>
      <c r="F14" s="22">
        <f>+(U15+V15)/2*$E14</f>
        <v>82287.773983597464</v>
      </c>
      <c r="G14" s="10">
        <f>+-E14*(MAX(0,Summary!$D$6-AA14))</f>
        <v>-30119.954469836266</v>
      </c>
      <c r="H14" s="10">
        <f>+F14+G14</f>
        <v>52167.819513761198</v>
      </c>
      <c r="I14" s="10">
        <f>+-$B$6</f>
        <v>-200000</v>
      </c>
      <c r="J14" s="10">
        <f>+I14+H14</f>
        <v>-147832.18048623879</v>
      </c>
      <c r="N14" s="87">
        <f>+(V15+U15)/2-O14</f>
        <v>2470.6949999999997</v>
      </c>
      <c r="O14" s="11">
        <f>+MAX(-AA14+Summary!$D$3,0)</f>
        <v>18675</v>
      </c>
      <c r="P14" s="11"/>
      <c r="R14" s="31">
        <v>0.39850000000000002</v>
      </c>
      <c r="S14" s="32">
        <v>7</v>
      </c>
      <c r="T14" s="70">
        <v>0.93100000000000005</v>
      </c>
      <c r="U14" s="33">
        <v>0.36299999999999999</v>
      </c>
      <c r="V14" s="34">
        <v>0.39350000000000002</v>
      </c>
      <c r="W14" s="70">
        <v>1.5269999999999999</v>
      </c>
      <c r="X14" s="32">
        <v>7</v>
      </c>
      <c r="Y14" s="32" t="s">
        <v>15</v>
      </c>
      <c r="Z14" s="32">
        <v>0.94</v>
      </c>
      <c r="AA14" s="82">
        <v>36000</v>
      </c>
      <c r="AB14" s="32">
        <v>8.9999999999999993E-3</v>
      </c>
      <c r="AC14" s="32">
        <v>13.5</v>
      </c>
      <c r="AD14" s="70">
        <v>1.004</v>
      </c>
      <c r="AE14" s="33">
        <v>9.4999999999999998E-3</v>
      </c>
      <c r="AF14" s="34">
        <v>1.0999999999999999E-2</v>
      </c>
      <c r="AG14" s="70">
        <v>1.042</v>
      </c>
      <c r="AH14" s="32">
        <v>57</v>
      </c>
      <c r="AI14" s="32">
        <v>196.6</v>
      </c>
      <c r="AJ14" s="35">
        <v>-0.06</v>
      </c>
      <c r="AM14" s="11">
        <f>+MAX(AA14-Summary!$D$3,0)</f>
        <v>0</v>
      </c>
      <c r="AO14" s="87">
        <f>+(AF15+AE15)/2-AM14</f>
        <v>573.42499999999995</v>
      </c>
      <c r="AR14" s="10">
        <f>+B14</f>
        <v>200000</v>
      </c>
      <c r="AS14" s="2">
        <f>+AR14/Summary!$D$3</f>
        <v>3.6579789666209419</v>
      </c>
      <c r="AT14">
        <f>+AJ14</f>
        <v>-0.06</v>
      </c>
      <c r="AU14" s="3">
        <f>+AS14/AT14</f>
        <v>-60.966316110349034</v>
      </c>
      <c r="AV14" s="20">
        <f>+(AE15+AF15)/2*AU14</f>
        <v>-34959.609815576892</v>
      </c>
      <c r="AW14">
        <f>+-AU14*(MAX(0,AA14-Summary!$D$6))</f>
        <v>0</v>
      </c>
      <c r="AX14" s="3">
        <f>+AV14+AW14</f>
        <v>-34959.609815576892</v>
      </c>
      <c r="AY14" s="10">
        <f>+I14</f>
        <v>-200000</v>
      </c>
      <c r="AZ14" s="10">
        <f>++AY14+AX14</f>
        <v>-234959.6098155769</v>
      </c>
    </row>
    <row r="15" spans="2:52" ht="15" thickBot="1" x14ac:dyDescent="0.35">
      <c r="E15" s="2"/>
      <c r="N15" s="87"/>
      <c r="O15" s="12"/>
      <c r="P15" s="12"/>
      <c r="R15" s="36"/>
      <c r="S15" s="37"/>
      <c r="T15" s="71"/>
      <c r="U15" s="38">
        <v>20293.16</v>
      </c>
      <c r="V15" s="38">
        <v>21998.23</v>
      </c>
      <c r="W15" s="71"/>
      <c r="X15" s="37"/>
      <c r="Y15" s="37"/>
      <c r="Z15" s="37"/>
      <c r="AA15" s="83"/>
      <c r="AB15" s="37"/>
      <c r="AC15" s="37"/>
      <c r="AD15" s="71"/>
      <c r="AE15" s="38">
        <v>531.47</v>
      </c>
      <c r="AF15" s="38">
        <v>615.38</v>
      </c>
      <c r="AG15" s="71"/>
      <c r="AH15" s="37"/>
      <c r="AI15" s="37"/>
      <c r="AJ15" s="39"/>
      <c r="AM15" s="12"/>
    </row>
    <row r="16" spans="2:52" x14ac:dyDescent="0.3">
      <c r="B16" s="3">
        <f>+Summary!$D$15</f>
        <v>200000</v>
      </c>
      <c r="C16" s="20">
        <f>+B16/Summary!$D$3</f>
        <v>3.6579789666209419</v>
      </c>
      <c r="D16" s="20">
        <f>+Z16</f>
        <v>0.9</v>
      </c>
      <c r="E16" s="3">
        <f>+C16/D16</f>
        <v>4.0644210740232687</v>
      </c>
      <c r="F16" s="22">
        <f>+(U17+V17)/2*$E16</f>
        <v>71060.387136107296</v>
      </c>
      <c r="G16" s="10">
        <f>+-E16*(MAX(0,Summary!$D$6-AA16))</f>
        <v>-15200.934816847024</v>
      </c>
      <c r="H16" s="10">
        <f>+F16+G16</f>
        <v>55859.452319260272</v>
      </c>
      <c r="I16" s="10">
        <f>+-$B$6</f>
        <v>-200000</v>
      </c>
      <c r="J16" s="10">
        <f>+I16+H16</f>
        <v>-144140.54768073972</v>
      </c>
      <c r="N16" s="87">
        <f>+(V17+U17)/2-O16</f>
        <v>2808.5200000000004</v>
      </c>
      <c r="O16" s="11">
        <f>+MAX(-AA16+Summary!$D$3,0)</f>
        <v>14675</v>
      </c>
      <c r="P16" s="11"/>
      <c r="R16" s="40">
        <v>0.3</v>
      </c>
      <c r="S16" s="41">
        <v>6</v>
      </c>
      <c r="T16" s="72">
        <v>0.82899999999999996</v>
      </c>
      <c r="U16" s="42">
        <v>0.29499999999999998</v>
      </c>
      <c r="V16" s="43">
        <v>0.33050000000000002</v>
      </c>
      <c r="W16" s="72">
        <v>1.375</v>
      </c>
      <c r="X16" s="41">
        <v>6</v>
      </c>
      <c r="Y16" s="41" t="s">
        <v>15</v>
      </c>
      <c r="Z16" s="41">
        <v>0.9</v>
      </c>
      <c r="AA16" s="82">
        <v>40000</v>
      </c>
      <c r="AB16" s="41">
        <v>1.4E-2</v>
      </c>
      <c r="AC16" s="41">
        <v>0.5</v>
      </c>
      <c r="AD16" s="72">
        <v>0.90900000000000003</v>
      </c>
      <c r="AE16" s="42">
        <v>1.4500000000000001E-2</v>
      </c>
      <c r="AF16" s="43">
        <v>1.4999999999999999E-2</v>
      </c>
      <c r="AG16" s="72">
        <v>0.91800000000000004</v>
      </c>
      <c r="AH16" s="41">
        <v>25</v>
      </c>
      <c r="AI16" s="41">
        <v>763.5</v>
      </c>
      <c r="AJ16" s="44">
        <v>-0.1</v>
      </c>
      <c r="AM16" s="11">
        <f>+MAX(AA16-Summary!$D$3,0)</f>
        <v>0</v>
      </c>
      <c r="AO16" s="87">
        <f>+(AF17+AE17)/2-AM16</f>
        <v>825.06999999999994</v>
      </c>
      <c r="AR16" s="10">
        <f>+B16</f>
        <v>200000</v>
      </c>
      <c r="AS16" s="2">
        <f>+AR16/Summary!$D$3</f>
        <v>3.6579789666209419</v>
      </c>
      <c r="AT16">
        <f>+AJ16</f>
        <v>-0.1</v>
      </c>
      <c r="AU16" s="3">
        <f>+AS16/AT16</f>
        <v>-36.579789666209415</v>
      </c>
      <c r="AV16" s="20">
        <f>+(AE17+AF17)/2*AU16</f>
        <v>-30180.8870598994</v>
      </c>
      <c r="AW16">
        <f>+-AU16*(MAX(0,AA16-Summary!$D$6))</f>
        <v>0</v>
      </c>
      <c r="AX16" s="3">
        <f>+AV16+AW16</f>
        <v>-30180.8870598994</v>
      </c>
      <c r="AY16" s="10">
        <f>+I16</f>
        <v>-200000</v>
      </c>
      <c r="AZ16" s="10">
        <f>++AY16+AX16</f>
        <v>-230180.8870598994</v>
      </c>
    </row>
    <row r="17" spans="2:52" ht="15" thickBot="1" x14ac:dyDescent="0.35">
      <c r="E17" s="2"/>
      <c r="N17" s="87"/>
      <c r="O17" s="12"/>
      <c r="P17" s="12"/>
      <c r="R17" s="45"/>
      <c r="S17" s="46"/>
      <c r="T17" s="73"/>
      <c r="U17" s="47">
        <v>16491.25</v>
      </c>
      <c r="V17" s="47">
        <v>18475.79</v>
      </c>
      <c r="W17" s="73"/>
      <c r="X17" s="46"/>
      <c r="Y17" s="46"/>
      <c r="Z17" s="46"/>
      <c r="AA17" s="83"/>
      <c r="AB17" s="46"/>
      <c r="AC17" s="46"/>
      <c r="AD17" s="73"/>
      <c r="AE17" s="47">
        <v>811.09</v>
      </c>
      <c r="AF17" s="47">
        <v>839.05</v>
      </c>
      <c r="AG17" s="73"/>
      <c r="AH17" s="46"/>
      <c r="AI17" s="46"/>
      <c r="AJ17" s="48"/>
      <c r="AM17" s="12"/>
    </row>
    <row r="18" spans="2:52" x14ac:dyDescent="0.3">
      <c r="B18" s="3">
        <f>+Summary!$D$15</f>
        <v>200000</v>
      </c>
      <c r="C18" s="20">
        <f>+B18/Summary!$D$3</f>
        <v>3.6579789666209419</v>
      </c>
      <c r="D18" s="20">
        <f>+Z18</f>
        <v>0.86</v>
      </c>
      <c r="E18" s="3">
        <f>+C18/D18</f>
        <v>4.253463914675514</v>
      </c>
      <c r="F18" s="22">
        <f>+(U19+V19)/2*$E18</f>
        <v>59398.134856073411</v>
      </c>
      <c r="G18" s="10">
        <f>+-E18*(MAX(0,Summary!$D$6-AA18))</f>
        <v>0</v>
      </c>
      <c r="H18" s="10">
        <f>+F18+G18</f>
        <v>59398.134856073411</v>
      </c>
      <c r="I18" s="10">
        <f>+-$B$6</f>
        <v>-200000</v>
      </c>
      <c r="J18" s="10">
        <f>+I18+H18</f>
        <v>-140601.86514392658</v>
      </c>
      <c r="N18" s="87">
        <f>+(V19+U19)/2-O18</f>
        <v>3289.6499999999996</v>
      </c>
      <c r="O18" s="11">
        <f>+MAX(-AA18+Summary!$D$3,0)</f>
        <v>10675</v>
      </c>
      <c r="P18" s="11"/>
      <c r="R18" s="31">
        <v>0.25</v>
      </c>
      <c r="S18" s="32">
        <v>6</v>
      </c>
      <c r="T18" s="70">
        <v>0.747</v>
      </c>
      <c r="U18" s="33">
        <v>0.23</v>
      </c>
      <c r="V18" s="34">
        <v>0.26950000000000002</v>
      </c>
      <c r="W18" s="70">
        <v>1.2330000000000001</v>
      </c>
      <c r="X18" s="32">
        <v>6</v>
      </c>
      <c r="Y18" s="32" t="s">
        <v>15</v>
      </c>
      <c r="Z18" s="32">
        <v>0.86</v>
      </c>
      <c r="AA18" s="82">
        <v>44000</v>
      </c>
      <c r="AB18" s="32">
        <v>1.8499999999999999E-2</v>
      </c>
      <c r="AC18" s="32">
        <v>17.600000000000001</v>
      </c>
      <c r="AD18" s="70">
        <v>0.79200000000000004</v>
      </c>
      <c r="AE18" s="33">
        <v>0.02</v>
      </c>
      <c r="AF18" s="34">
        <v>2.1000000000000001E-2</v>
      </c>
      <c r="AG18" s="70">
        <v>0.80600000000000005</v>
      </c>
      <c r="AH18" s="32">
        <v>23</v>
      </c>
      <c r="AI18" s="32">
        <v>159.1</v>
      </c>
      <c r="AJ18" s="35">
        <v>-0.14000000000000001</v>
      </c>
      <c r="AM18" s="11">
        <f>+MAX(AA18-Summary!$D$3,0)</f>
        <v>0</v>
      </c>
      <c r="AO18" s="87">
        <f>+(AF19+AE19)/2-AM18</f>
        <v>1146.155</v>
      </c>
      <c r="AR18" s="10">
        <f>+B18</f>
        <v>200000</v>
      </c>
      <c r="AS18" s="2">
        <f>+AR18/Summary!$D$3</f>
        <v>3.6579789666209419</v>
      </c>
      <c r="AT18">
        <f>+AJ18</f>
        <v>-0.14000000000000001</v>
      </c>
      <c r="AU18" s="3">
        <f>+AS18/AT18</f>
        <v>-26.128421190149581</v>
      </c>
      <c r="AV18" s="20">
        <f>+(AE19+AF19)/2*AU18</f>
        <v>-29947.220589195891</v>
      </c>
      <c r="AW18" s="3">
        <f>+-AU18*(MAX(0,AA18-Summary!$D$6))</f>
        <v>6793.3895094388909</v>
      </c>
      <c r="AX18" s="3">
        <f>+AV18+AW18</f>
        <v>-23153.831079757001</v>
      </c>
      <c r="AY18" s="10">
        <f>+I18</f>
        <v>-200000</v>
      </c>
      <c r="AZ18" s="10">
        <f>++AY18+AX18</f>
        <v>-223153.83107975702</v>
      </c>
    </row>
    <row r="19" spans="2:52" ht="15" thickBot="1" x14ac:dyDescent="0.35">
      <c r="E19" s="2"/>
      <c r="N19" s="87"/>
      <c r="O19" s="12"/>
      <c r="P19" s="12"/>
      <c r="R19" s="36"/>
      <c r="S19" s="37"/>
      <c r="T19" s="71"/>
      <c r="U19" s="38">
        <v>12860.34</v>
      </c>
      <c r="V19" s="38">
        <v>15068.96</v>
      </c>
      <c r="W19" s="71"/>
      <c r="X19" s="37"/>
      <c r="Y19" s="37"/>
      <c r="Z19" s="37"/>
      <c r="AA19" s="83"/>
      <c r="AB19" s="37"/>
      <c r="AC19" s="37"/>
      <c r="AD19" s="71"/>
      <c r="AE19" s="38">
        <v>1118.2</v>
      </c>
      <c r="AF19" s="38">
        <v>1174.1099999999999</v>
      </c>
      <c r="AG19" s="71"/>
      <c r="AH19" s="37"/>
      <c r="AI19" s="37"/>
      <c r="AJ19" s="39"/>
      <c r="AM19" s="12"/>
      <c r="AW19" s="3"/>
    </row>
    <row r="20" spans="2:52" x14ac:dyDescent="0.3">
      <c r="B20" s="3">
        <f>+Summary!$D$15</f>
        <v>200000</v>
      </c>
      <c r="C20" s="20">
        <f>+B20/Summary!$D$3</f>
        <v>3.6579789666209419</v>
      </c>
      <c r="D20" s="20">
        <f>+Z20</f>
        <v>0.78</v>
      </c>
      <c r="E20" s="3">
        <f>+C20/D20</f>
        <v>4.6897166238730019</v>
      </c>
      <c r="F20" s="22">
        <f>+(U21+V21)/2*$E20</f>
        <v>50267.735922056905</v>
      </c>
      <c r="G20" s="10">
        <f>+-E20*(MAX(0,Summary!$D$6-AA20))</f>
        <v>0</v>
      </c>
      <c r="H20" s="10">
        <f>+F20+G20</f>
        <v>50267.735922056905</v>
      </c>
      <c r="I20" s="10">
        <f>+-$B$6</f>
        <v>-200000</v>
      </c>
      <c r="J20" s="10">
        <f>+I20+H20</f>
        <v>-149732.26407794311</v>
      </c>
      <c r="N20" s="87">
        <f>+(V21+U21)/2-O20</f>
        <v>4043.7150000000001</v>
      </c>
      <c r="O20" s="11">
        <f>+MAX(-AA20+Summary!$D$3,0)</f>
        <v>6675</v>
      </c>
      <c r="P20" s="11"/>
      <c r="R20" s="40">
        <v>0.16950000000000001</v>
      </c>
      <c r="S20" s="41">
        <v>6</v>
      </c>
      <c r="T20" s="72">
        <v>0.67300000000000004</v>
      </c>
      <c r="U20" s="42">
        <v>0.16950000000000001</v>
      </c>
      <c r="V20" s="43">
        <v>0.2135</v>
      </c>
      <c r="W20" s="72">
        <v>1.1180000000000001</v>
      </c>
      <c r="X20" s="41">
        <v>6</v>
      </c>
      <c r="Y20" s="41">
        <v>345.4</v>
      </c>
      <c r="Z20" s="41">
        <v>0.78</v>
      </c>
      <c r="AA20" s="82">
        <v>48000</v>
      </c>
      <c r="AB20" s="41">
        <v>3.2500000000000001E-2</v>
      </c>
      <c r="AC20" s="41">
        <v>2.1</v>
      </c>
      <c r="AD20" s="72">
        <v>0.71599999999999997</v>
      </c>
      <c r="AE20" s="42">
        <v>3.1E-2</v>
      </c>
      <c r="AF20" s="43">
        <v>3.2500000000000001E-2</v>
      </c>
      <c r="AG20" s="72">
        <v>0.73199999999999998</v>
      </c>
      <c r="AH20" s="41">
        <v>21.9</v>
      </c>
      <c r="AI20" s="41">
        <v>727.6</v>
      </c>
      <c r="AJ20" s="44">
        <v>-0.22</v>
      </c>
      <c r="AM20" s="11">
        <f>+MAX(AA20-Summary!$D$3,0)</f>
        <v>0</v>
      </c>
      <c r="AO20" s="87">
        <f>+(AF21+AE21)/2-AM20</f>
        <v>1776.655</v>
      </c>
      <c r="AR20" s="10">
        <f>+B20</f>
        <v>200000</v>
      </c>
      <c r="AS20" s="2">
        <f>+AR20/Summary!$D$3</f>
        <v>3.6579789666209419</v>
      </c>
      <c r="AT20">
        <f>+AJ20</f>
        <v>-0.22</v>
      </c>
      <c r="AU20" s="3">
        <f>+AS20/AT20</f>
        <v>-16.62717712100428</v>
      </c>
      <c r="AV20" s="20">
        <f>+(AE21+AF21)/2*AU20</f>
        <v>-29540.75736791786</v>
      </c>
      <c r="AW20" s="3">
        <f>+-AU20*(MAX(0,AA20-Summary!$D$6))</f>
        <v>70831.774535478238</v>
      </c>
      <c r="AX20" s="3">
        <f>+AV20+AW20</f>
        <v>41291.017167560378</v>
      </c>
      <c r="AY20" s="10">
        <f>+I20</f>
        <v>-200000</v>
      </c>
      <c r="AZ20" s="10">
        <f>++AY20+AX20</f>
        <v>-158708.98283243962</v>
      </c>
    </row>
    <row r="21" spans="2:52" ht="15" thickBot="1" x14ac:dyDescent="0.35">
      <c r="E21" s="2"/>
      <c r="N21" s="87"/>
      <c r="O21" s="12"/>
      <c r="P21" s="12"/>
      <c r="R21" s="45"/>
      <c r="S21" s="46"/>
      <c r="T21" s="73"/>
      <c r="U21" s="47">
        <v>9487.32</v>
      </c>
      <c r="V21" s="47">
        <v>11950.11</v>
      </c>
      <c r="W21" s="73"/>
      <c r="X21" s="46"/>
      <c r="Y21" s="46"/>
      <c r="Z21" s="46"/>
      <c r="AA21" s="83"/>
      <c r="AB21" s="46"/>
      <c r="AC21" s="46"/>
      <c r="AD21" s="73"/>
      <c r="AE21" s="47">
        <v>1734.69</v>
      </c>
      <c r="AF21" s="47">
        <v>1818.62</v>
      </c>
      <c r="AG21" s="73"/>
      <c r="AH21" s="46"/>
      <c r="AI21" s="46"/>
      <c r="AJ21" s="48"/>
      <c r="AM21" s="12"/>
      <c r="AW21" s="3"/>
    </row>
    <row r="22" spans="2:52" x14ac:dyDescent="0.3">
      <c r="B22" s="3">
        <f>+Summary!$D$15</f>
        <v>200000</v>
      </c>
      <c r="C22" s="20">
        <f>+B22/Summary!$D$3</f>
        <v>3.6579789666209419</v>
      </c>
      <c r="D22" s="20">
        <f>+Z22</f>
        <v>0.73</v>
      </c>
      <c r="E22" s="3">
        <f>+C22/D22</f>
        <v>5.0109300912615646</v>
      </c>
      <c r="F22" s="22">
        <f>+(U23+V23)/2*$E22</f>
        <v>44011.926013617202</v>
      </c>
      <c r="G22" s="10">
        <f>+-E22*(MAX(0,Summary!$D$6-AA22))</f>
        <v>0</v>
      </c>
      <c r="H22" s="10">
        <f>+F22+G22</f>
        <v>44011.926013617202</v>
      </c>
      <c r="I22" s="10">
        <f>+-$B$6</f>
        <v>-200000</v>
      </c>
      <c r="J22" s="10">
        <f>+I22+H22</f>
        <v>-155988.07398638281</v>
      </c>
      <c r="N22" s="87">
        <f>+(V23+U23)/2-O22</f>
        <v>4108.1849999999995</v>
      </c>
      <c r="O22" s="11">
        <f>+MAX(-AA22+Summary!$D$3,0)</f>
        <v>4675</v>
      </c>
      <c r="P22" s="11"/>
      <c r="R22" s="31">
        <v>0.14249999999999999</v>
      </c>
      <c r="S22" s="32">
        <v>7</v>
      </c>
      <c r="T22" s="70">
        <v>0.48099999999999998</v>
      </c>
      <c r="U22" s="33">
        <v>0.1255</v>
      </c>
      <c r="V22" s="34">
        <v>0.1885</v>
      </c>
      <c r="W22" s="70">
        <v>1.081</v>
      </c>
      <c r="X22" s="32">
        <v>7</v>
      </c>
      <c r="Y22" s="32">
        <v>148.4</v>
      </c>
      <c r="Z22" s="32">
        <v>0.73</v>
      </c>
      <c r="AA22" s="82">
        <v>50000</v>
      </c>
      <c r="AB22" s="32">
        <v>4.1500000000000002E-2</v>
      </c>
      <c r="AC22" s="32">
        <v>1.3</v>
      </c>
      <c r="AD22" s="70">
        <v>0.69399999999999995</v>
      </c>
      <c r="AE22" s="33">
        <v>0.04</v>
      </c>
      <c r="AF22" s="34">
        <v>4.2000000000000003E-2</v>
      </c>
      <c r="AG22" s="70">
        <v>0.71299999999999997</v>
      </c>
      <c r="AH22" s="32">
        <v>24.5</v>
      </c>
      <c r="AI22" s="32">
        <v>637.79999999999995</v>
      </c>
      <c r="AJ22" s="35">
        <v>-0.27</v>
      </c>
      <c r="AM22" s="11">
        <f>+MAX(AA22-Summary!$D$3,0)</f>
        <v>0</v>
      </c>
      <c r="AO22" s="87">
        <f>+(AF23+AE23)/2-AM22</f>
        <v>2294.7600000000002</v>
      </c>
      <c r="AR22" s="10">
        <f>+B22</f>
        <v>200000</v>
      </c>
      <c r="AS22" s="2">
        <f>+AR22/Summary!$D$3</f>
        <v>3.6579789666209419</v>
      </c>
      <c r="AT22">
        <f>+AJ22</f>
        <v>-0.27</v>
      </c>
      <c r="AU22" s="3">
        <f>+AS22/AT22</f>
        <v>-13.548070246744228</v>
      </c>
      <c r="AV22" s="20">
        <f>+(AE23+AF23)/2*AU22</f>
        <v>-31089.569679418786</v>
      </c>
      <c r="AW22" s="3">
        <f>+-AU22*(MAX(0,AA22-Summary!$D$6))</f>
        <v>84810.919744618863</v>
      </c>
      <c r="AX22" s="3">
        <f>+AV22+AW22</f>
        <v>53721.35006520008</v>
      </c>
      <c r="AY22" s="10">
        <f>+I22</f>
        <v>-200000</v>
      </c>
      <c r="AZ22" s="10">
        <f>++AY22+AX22</f>
        <v>-146278.64993479993</v>
      </c>
    </row>
    <row r="23" spans="2:52" ht="15" thickBot="1" x14ac:dyDescent="0.35">
      <c r="E23" s="2"/>
      <c r="N23" s="87"/>
      <c r="O23" s="12"/>
      <c r="P23" s="12"/>
      <c r="R23" s="36"/>
      <c r="S23" s="37"/>
      <c r="T23" s="71"/>
      <c r="U23" s="38">
        <v>7020.95</v>
      </c>
      <c r="V23" s="38">
        <v>10545.42</v>
      </c>
      <c r="W23" s="71"/>
      <c r="X23" s="37"/>
      <c r="Y23" s="37"/>
      <c r="Z23" s="37"/>
      <c r="AA23" s="83"/>
      <c r="AB23" s="37"/>
      <c r="AC23" s="37"/>
      <c r="AD23" s="71"/>
      <c r="AE23" s="38">
        <v>2238.79</v>
      </c>
      <c r="AF23" s="38">
        <v>2350.73</v>
      </c>
      <c r="AG23" s="71"/>
      <c r="AH23" s="37"/>
      <c r="AI23" s="37"/>
      <c r="AJ23" s="39"/>
      <c r="AM23" s="12"/>
      <c r="AW23" s="3"/>
    </row>
    <row r="24" spans="2:52" x14ac:dyDescent="0.3">
      <c r="B24" s="3">
        <f>+Summary!$D$15</f>
        <v>200000</v>
      </c>
      <c r="C24" s="20">
        <f>+B24/Summary!$D$3</f>
        <v>3.6579789666209419</v>
      </c>
      <c r="D24" s="20">
        <f>+Z24</f>
        <v>0.67</v>
      </c>
      <c r="E24" s="3">
        <f>+C24/D24</f>
        <v>5.4596700994342413</v>
      </c>
      <c r="F24" s="22">
        <f>+(U25+V25)/2*$E24</f>
        <v>38574.01606507926</v>
      </c>
      <c r="G24" s="10">
        <f>+-E24*(MAX(0,Summary!$D$6-AA24))</f>
        <v>0</v>
      </c>
      <c r="H24" s="10">
        <f>+F24+G24</f>
        <v>38574.01606507926</v>
      </c>
      <c r="I24" s="10">
        <f>+-$B$6</f>
        <v>-200000</v>
      </c>
      <c r="J24" s="10">
        <f>+I24+H24</f>
        <v>-161425.98393492075</v>
      </c>
      <c r="N24" s="87">
        <f>+(V25+U25)/2-O24</f>
        <v>4390.2649999999994</v>
      </c>
      <c r="O24" s="11">
        <f>+MAX(-AA24+Summary!$D$3,0)</f>
        <v>2675</v>
      </c>
      <c r="P24" s="11"/>
      <c r="R24" s="40">
        <v>0.13700000000000001</v>
      </c>
      <c r="S24" s="41">
        <v>19.7</v>
      </c>
      <c r="T24" s="72">
        <v>0.68700000000000006</v>
      </c>
      <c r="U24" s="42">
        <v>0.1235</v>
      </c>
      <c r="V24" s="43">
        <v>0.129</v>
      </c>
      <c r="W24" s="72">
        <v>0.73499999999999999</v>
      </c>
      <c r="X24" s="41">
        <v>4.5</v>
      </c>
      <c r="Y24" s="41">
        <v>326.89999999999998</v>
      </c>
      <c r="Z24" s="41">
        <v>0.67</v>
      </c>
      <c r="AA24" s="82">
        <v>52000</v>
      </c>
      <c r="AB24" s="41">
        <v>5.3999999999999999E-2</v>
      </c>
      <c r="AC24" s="41">
        <v>1.6</v>
      </c>
      <c r="AD24" s="72">
        <v>0.68100000000000005</v>
      </c>
      <c r="AE24" s="42">
        <v>5.1999999999999998E-2</v>
      </c>
      <c r="AF24" s="43">
        <v>5.3999999999999999E-2</v>
      </c>
      <c r="AG24" s="72">
        <v>0.69899999999999995</v>
      </c>
      <c r="AH24" s="41">
        <v>14</v>
      </c>
      <c r="AI24" s="41">
        <v>365.7</v>
      </c>
      <c r="AJ24" s="44">
        <v>-0.33</v>
      </c>
      <c r="AM24" s="11">
        <f>+MAX(AA24-Summary!$D$3,0)</f>
        <v>0</v>
      </c>
      <c r="AO24" s="87">
        <f>+(AF25+AE25)/2-AM24</f>
        <v>2966.5950000000003</v>
      </c>
      <c r="AR24" s="10">
        <f>+B24</f>
        <v>200000</v>
      </c>
      <c r="AS24" s="2">
        <f>+AR24/Summary!$D$3</f>
        <v>3.6579789666209419</v>
      </c>
      <c r="AT24">
        <f>+AJ24</f>
        <v>-0.33</v>
      </c>
      <c r="AU24" s="3">
        <f>+AS24/AT24</f>
        <v>-11.084784747336187</v>
      </c>
      <c r="AV24" s="20">
        <f>+(AE25+AF25)/2*AU24</f>
        <v>-32884.067007523794</v>
      </c>
      <c r="AW24" s="3">
        <f>+-AU24*(MAX(0,AA24-Summary!$D$6))</f>
        <v>91560.322012996898</v>
      </c>
      <c r="AX24" s="3">
        <f>+AV24+AW24</f>
        <v>58676.255005473104</v>
      </c>
      <c r="AY24" s="10">
        <f>+I24</f>
        <v>-200000</v>
      </c>
      <c r="AZ24" s="10">
        <f>++AY24+AX24</f>
        <v>-141323.7449945269</v>
      </c>
    </row>
    <row r="25" spans="2:52" ht="15" thickBot="1" x14ac:dyDescent="0.35">
      <c r="E25" s="2"/>
      <c r="N25" s="87"/>
      <c r="O25" s="12"/>
      <c r="P25" s="12"/>
      <c r="R25" s="45"/>
      <c r="S25" s="46"/>
      <c r="T25" s="73"/>
      <c r="U25" s="47">
        <v>6911.37</v>
      </c>
      <c r="V25" s="47">
        <v>7219.16</v>
      </c>
      <c r="W25" s="73"/>
      <c r="X25" s="46"/>
      <c r="Y25" s="46"/>
      <c r="Z25" s="46"/>
      <c r="AA25" s="83"/>
      <c r="AB25" s="46"/>
      <c r="AC25" s="46"/>
      <c r="AD25" s="73"/>
      <c r="AE25" s="47">
        <v>2910.62</v>
      </c>
      <c r="AF25" s="47">
        <v>3022.57</v>
      </c>
      <c r="AG25" s="73"/>
      <c r="AH25" s="46"/>
      <c r="AI25" s="46"/>
      <c r="AJ25" s="48"/>
      <c r="AM25" s="12"/>
      <c r="AW25" s="3"/>
    </row>
    <row r="26" spans="2:52" x14ac:dyDescent="0.3">
      <c r="B26" s="3">
        <f>+Summary!$D$15</f>
        <v>200000</v>
      </c>
      <c r="C26" s="20">
        <f>+B26/Summary!$D$3</f>
        <v>3.6579789666209419</v>
      </c>
      <c r="D26" s="20">
        <f>+Z26</f>
        <v>0.54</v>
      </c>
      <c r="E26" s="3">
        <f>+C26/D26</f>
        <v>6.7740351233721139</v>
      </c>
      <c r="F26" s="22">
        <f>+(U27+V27)/2*$E26</f>
        <v>34020.525326423813</v>
      </c>
      <c r="G26" s="10">
        <f>+-E26*(MAX(0,Summary!$D$6-AA26))</f>
        <v>0</v>
      </c>
      <c r="H26" s="10">
        <f>+F26+G26</f>
        <v>34020.525326423813</v>
      </c>
      <c r="I26" s="10">
        <f>+-$B$6</f>
        <v>-200000</v>
      </c>
      <c r="J26" s="10">
        <f>+I26+H26</f>
        <v>-165979.47467357619</v>
      </c>
      <c r="N26" s="87">
        <f>+(V27+U27)/2-O26</f>
        <v>5022.1949999999997</v>
      </c>
      <c r="O26" s="11">
        <f>+MAX(-AA26+Summary!$D$3,0)</f>
        <v>0</v>
      </c>
      <c r="P26" s="11"/>
      <c r="Q26" s="23" t="s">
        <v>32</v>
      </c>
      <c r="R26" s="49">
        <v>9.5000000000000001E-2</v>
      </c>
      <c r="S26" s="50">
        <v>19</v>
      </c>
      <c r="T26" s="74">
        <v>0.70599999999999996</v>
      </c>
      <c r="U26" s="51">
        <v>8.8499999999999995E-2</v>
      </c>
      <c r="V26" s="52">
        <v>9.0999999999999998E-2</v>
      </c>
      <c r="W26" s="74">
        <v>0.72599999999999998</v>
      </c>
      <c r="X26" s="50">
        <v>10.199999999999999</v>
      </c>
      <c r="Y26" s="50">
        <v>370.1</v>
      </c>
      <c r="Z26" s="50">
        <v>0.54</v>
      </c>
      <c r="AA26" s="84">
        <v>56000</v>
      </c>
      <c r="AB26" s="50">
        <v>8.4500000000000006E-2</v>
      </c>
      <c r="AC26" s="50">
        <v>1.3</v>
      </c>
      <c r="AD26" s="74">
        <v>0.68100000000000005</v>
      </c>
      <c r="AE26" s="51">
        <v>8.5999999999999993E-2</v>
      </c>
      <c r="AF26" s="52">
        <v>8.8499999999999995E-2</v>
      </c>
      <c r="AG26" s="74">
        <v>0.7</v>
      </c>
      <c r="AH26" s="50">
        <v>38.799999999999997</v>
      </c>
      <c r="AI26" s="50">
        <v>324.10000000000002</v>
      </c>
      <c r="AJ26" s="53">
        <v>-0.46</v>
      </c>
      <c r="AK26" s="23" t="s">
        <v>32</v>
      </c>
      <c r="AM26" s="11">
        <f>+MAX(AA26-Summary!$D$3,0)</f>
        <v>1325</v>
      </c>
      <c r="AO26" s="87">
        <f>+(AF27+AE27)/2-AM26</f>
        <v>3558.3549999999996</v>
      </c>
      <c r="AR26" s="10">
        <f>+B26</f>
        <v>200000</v>
      </c>
      <c r="AS26" s="2">
        <f>+AR26/Summary!$D$3</f>
        <v>3.6579789666209419</v>
      </c>
      <c r="AT26">
        <f>+AJ26</f>
        <v>-0.46</v>
      </c>
      <c r="AU26" s="3">
        <f>+AS26/AT26</f>
        <v>-7.9521281883063955</v>
      </c>
      <c r="AV26" s="20">
        <f>+(AE27+AF27)/2*AU26</f>
        <v>-38833.064949006977</v>
      </c>
      <c r="AW26" s="3">
        <f>+-AU26*(MAX(0,AA26-Summary!$D$6))</f>
        <v>97493.091588636409</v>
      </c>
      <c r="AX26" s="3">
        <f>+AV26+AW26</f>
        <v>58660.026639629432</v>
      </c>
      <c r="AY26" s="10">
        <f>+I26</f>
        <v>-200000</v>
      </c>
      <c r="AZ26" s="10">
        <f>++AY26+AX26</f>
        <v>-141339.97336037055</v>
      </c>
    </row>
    <row r="27" spans="2:52" ht="15" thickBot="1" x14ac:dyDescent="0.35">
      <c r="E27" s="2"/>
      <c r="N27" s="87"/>
      <c r="O27" s="12"/>
      <c r="P27" s="12"/>
      <c r="Q27" s="24"/>
      <c r="R27" s="54"/>
      <c r="S27" s="55"/>
      <c r="T27" s="75"/>
      <c r="U27" s="56">
        <v>4952.25</v>
      </c>
      <c r="V27" s="56">
        <v>5092.1400000000003</v>
      </c>
      <c r="W27" s="75"/>
      <c r="X27" s="55"/>
      <c r="Y27" s="55"/>
      <c r="Z27" s="55"/>
      <c r="AA27" s="85"/>
      <c r="AB27" s="55"/>
      <c r="AC27" s="55"/>
      <c r="AD27" s="75"/>
      <c r="AE27" s="56">
        <v>4813.3900000000003</v>
      </c>
      <c r="AF27" s="56">
        <v>4953.32</v>
      </c>
      <c r="AG27" s="75"/>
      <c r="AH27" s="55"/>
      <c r="AI27" s="55"/>
      <c r="AJ27" s="57"/>
      <c r="AK27" s="24"/>
      <c r="AM27" s="12"/>
      <c r="AW27" s="3"/>
    </row>
    <row r="28" spans="2:52" x14ac:dyDescent="0.3">
      <c r="B28" s="3">
        <f>+Summary!$D$15</f>
        <v>200000</v>
      </c>
      <c r="C28" s="20">
        <f>+B28/Summary!$D$3</f>
        <v>3.6579789666209419</v>
      </c>
      <c r="D28" s="20">
        <f>+Z28</f>
        <v>0.43</v>
      </c>
      <c r="E28" s="3">
        <f>+C28/D28</f>
        <v>8.506927829351028</v>
      </c>
      <c r="F28" s="22">
        <f>+(U29+V29)/2*$E28</f>
        <v>30234.259525100751</v>
      </c>
      <c r="G28" s="10">
        <f>+-E28*(MAX(0,Summary!$D$6-AA28))</f>
        <v>0</v>
      </c>
      <c r="H28" s="10">
        <f>+F28+G28</f>
        <v>30234.259525100751</v>
      </c>
      <c r="I28" s="10">
        <f>+-$B$6</f>
        <v>-200000</v>
      </c>
      <c r="J28" s="10">
        <f>+I28+H28</f>
        <v>-169765.74047489924</v>
      </c>
      <c r="N28" s="87">
        <f>+(V29+U29)/2-O28</f>
        <v>3554.0749999999998</v>
      </c>
      <c r="O28" s="11">
        <f>+MAX(-AA28+Summary!$D$3,0)</f>
        <v>0</v>
      </c>
      <c r="P28" s="11"/>
      <c r="R28" s="40">
        <v>6.3500000000000001E-2</v>
      </c>
      <c r="S28" s="41">
        <v>19</v>
      </c>
      <c r="T28" s="72">
        <v>0.72599999999999998</v>
      </c>
      <c r="U28" s="42">
        <v>6.3E-2</v>
      </c>
      <c r="V28" s="43">
        <v>6.4000000000000001E-2</v>
      </c>
      <c r="W28" s="72">
        <v>0.73399999999999999</v>
      </c>
      <c r="X28" s="41">
        <v>13.7</v>
      </c>
      <c r="Y28" s="41">
        <v>220.2</v>
      </c>
      <c r="Z28" s="41">
        <v>0.43</v>
      </c>
      <c r="AA28" s="82">
        <v>60000</v>
      </c>
      <c r="AB28" s="41">
        <v>0.124</v>
      </c>
      <c r="AC28" s="41">
        <v>7</v>
      </c>
      <c r="AD28" s="72">
        <v>0.66800000000000004</v>
      </c>
      <c r="AE28" s="42">
        <v>0.128</v>
      </c>
      <c r="AF28" s="43">
        <v>0.13850000000000001</v>
      </c>
      <c r="AG28" s="72">
        <v>0.753</v>
      </c>
      <c r="AH28" s="41">
        <v>1</v>
      </c>
      <c r="AI28" s="41">
        <v>14.7</v>
      </c>
      <c r="AJ28" s="44">
        <v>-0.56999999999999995</v>
      </c>
      <c r="AM28" s="11">
        <f>+MAX(AA28-Summary!$D$3,0)</f>
        <v>5325</v>
      </c>
      <c r="AO28" s="87">
        <f>+(AF29+AE29)/2-AM28</f>
        <v>2131.335</v>
      </c>
      <c r="AR28" s="10">
        <f>+B28</f>
        <v>200000</v>
      </c>
      <c r="AS28" s="2">
        <f>+AR28/Summary!$D$3</f>
        <v>3.6579789666209419</v>
      </c>
      <c r="AT28">
        <f>+AJ28</f>
        <v>-0.56999999999999995</v>
      </c>
      <c r="AU28" s="3">
        <f>+AS28/AT28</f>
        <v>-6.4175069589841094</v>
      </c>
      <c r="AV28" s="20">
        <f>+(AE29+AF29)/2*AU28</f>
        <v>-47851.081751016776</v>
      </c>
      <c r="AW28" s="3">
        <f>+-AU28*(MAX(0,AA28-Summary!$D$6))</f>
        <v>104348.66315308162</v>
      </c>
      <c r="AX28" s="3">
        <f>+AV28+AW28</f>
        <v>56497.581402064847</v>
      </c>
      <c r="AY28" s="10">
        <f>+I28</f>
        <v>-200000</v>
      </c>
      <c r="AZ28" s="10">
        <f>++AY28+AX28</f>
        <v>-143502.41859793515</v>
      </c>
    </row>
    <row r="29" spans="2:52" ht="15" thickBot="1" x14ac:dyDescent="0.35">
      <c r="E29" s="2"/>
      <c r="N29" s="87"/>
      <c r="O29" s="12"/>
      <c r="P29" s="12"/>
      <c r="R29" s="45"/>
      <c r="S29" s="46"/>
      <c r="T29" s="73"/>
      <c r="U29" s="47">
        <v>3526.09</v>
      </c>
      <c r="V29" s="47">
        <v>3582.06</v>
      </c>
      <c r="W29" s="73"/>
      <c r="X29" s="46"/>
      <c r="Y29" s="46"/>
      <c r="Z29" s="46"/>
      <c r="AA29" s="83"/>
      <c r="AB29" s="46"/>
      <c r="AC29" s="46"/>
      <c r="AD29" s="73"/>
      <c r="AE29" s="47">
        <v>7162.56</v>
      </c>
      <c r="AF29" s="47">
        <v>7750.11</v>
      </c>
      <c r="AG29" s="73"/>
      <c r="AH29" s="46"/>
      <c r="AI29" s="46"/>
      <c r="AJ29" s="48"/>
      <c r="AM29" s="12"/>
      <c r="AW29" s="3"/>
      <c r="AZ29" s="10"/>
    </row>
    <row r="30" spans="2:52" x14ac:dyDescent="0.3">
      <c r="B30" s="3">
        <f>+Summary!$D$15</f>
        <v>200000</v>
      </c>
      <c r="C30" s="20">
        <f>+B30/Summary!$D$3</f>
        <v>3.6579789666209419</v>
      </c>
      <c r="D30" s="20">
        <f>+Z30</f>
        <v>0.33</v>
      </c>
      <c r="E30" s="3">
        <f>+C30/D30</f>
        <v>11.084784747336187</v>
      </c>
      <c r="F30" s="22">
        <f>+(U31+V31)/2*$E30</f>
        <v>28219.922129387145</v>
      </c>
      <c r="G30" s="10">
        <f>+-E30*(MAX(0,Summary!$D$6-AA30))</f>
        <v>0</v>
      </c>
      <c r="H30" s="10">
        <f>+F30+G30</f>
        <v>28219.922129387145</v>
      </c>
      <c r="I30" s="10">
        <f>+-$B$6</f>
        <v>-200000</v>
      </c>
      <c r="J30" s="10">
        <f>+I30+H30</f>
        <v>-171780.07787061285</v>
      </c>
      <c r="N30" s="87">
        <f>+(V31+U31)/2-O30</f>
        <v>2545.8249999999998</v>
      </c>
      <c r="O30" s="11">
        <f>+MAX(-AA30+Summary!$D$3,0)</f>
        <v>0</v>
      </c>
      <c r="P30" s="11"/>
      <c r="R30" s="31">
        <v>4.5499999999999999E-2</v>
      </c>
      <c r="S30" s="32">
        <v>20.7</v>
      </c>
      <c r="T30" s="70">
        <v>0.75</v>
      </c>
      <c r="U30" s="33">
        <v>4.4999999999999998E-2</v>
      </c>
      <c r="V30" s="34">
        <v>4.5999999999999999E-2</v>
      </c>
      <c r="W30" s="70">
        <v>0.75900000000000001</v>
      </c>
      <c r="X30" s="32">
        <v>14.1</v>
      </c>
      <c r="Y30" s="32">
        <v>115.9</v>
      </c>
      <c r="Z30" s="32">
        <v>0.33</v>
      </c>
      <c r="AA30" s="82">
        <v>64000</v>
      </c>
      <c r="AB30" s="32">
        <v>0.13750000000000001</v>
      </c>
      <c r="AC30" s="32">
        <v>5</v>
      </c>
      <c r="AD30" s="70">
        <v>0.25600000000000001</v>
      </c>
      <c r="AE30" s="33">
        <v>0.14549999999999999</v>
      </c>
      <c r="AF30" s="34">
        <v>0.19850000000000001</v>
      </c>
      <c r="AG30" s="70">
        <v>0.83399999999999996</v>
      </c>
      <c r="AH30" s="32">
        <v>5</v>
      </c>
      <c r="AI30" s="32" t="s">
        <v>15</v>
      </c>
      <c r="AJ30" s="35">
        <v>-0.67</v>
      </c>
      <c r="AM30" s="11">
        <f>+MAX(AA30-Summary!$D$3,0)</f>
        <v>9325</v>
      </c>
      <c r="AO30" s="87">
        <f>+(AF31+AE31)/2-AM30</f>
        <v>299.42000000000007</v>
      </c>
      <c r="AR30" s="10">
        <f>+B30</f>
        <v>200000</v>
      </c>
      <c r="AS30" s="2">
        <f>+AR30/Summary!$D$3</f>
        <v>3.6579789666209419</v>
      </c>
      <c r="AT30">
        <f>+AJ30</f>
        <v>-0.67</v>
      </c>
      <c r="AU30" s="3">
        <f>+AS30/AT30</f>
        <v>-5.4596700994342413</v>
      </c>
      <c r="AV30" s="20">
        <f>+(AE31+AF31)/2*AU30</f>
        <v>-52546.158098396903</v>
      </c>
      <c r="AW30" s="3">
        <f>+-AU30*(MAX(0,AA30-Summary!$D$6))</f>
        <v>110612.91621453773</v>
      </c>
      <c r="AX30" s="3">
        <f>+AV30+AW30</f>
        <v>58066.758116140831</v>
      </c>
      <c r="AY30" s="10">
        <f>+I30</f>
        <v>-200000</v>
      </c>
      <c r="AZ30" s="10">
        <f>++AY30+AX30</f>
        <v>-141933.24188385915</v>
      </c>
    </row>
    <row r="31" spans="2:52" ht="15" thickBot="1" x14ac:dyDescent="0.35">
      <c r="E31" s="2"/>
      <c r="N31" s="87"/>
      <c r="O31" s="12"/>
      <c r="P31" s="12"/>
      <c r="R31" s="36"/>
      <c r="S31" s="37"/>
      <c r="T31" s="71"/>
      <c r="U31" s="38">
        <v>2517.85</v>
      </c>
      <c r="V31" s="38">
        <v>2573.8000000000002</v>
      </c>
      <c r="W31" s="71"/>
      <c r="X31" s="37"/>
      <c r="Y31" s="37"/>
      <c r="Z31" s="37"/>
      <c r="AA31" s="83"/>
      <c r="AB31" s="37"/>
      <c r="AC31" s="37"/>
      <c r="AD31" s="71"/>
      <c r="AE31" s="38">
        <v>8141.59</v>
      </c>
      <c r="AF31" s="38">
        <v>11107.25</v>
      </c>
      <c r="AG31" s="71"/>
      <c r="AH31" s="37"/>
      <c r="AI31" s="37"/>
      <c r="AJ31" s="39"/>
      <c r="AM31" s="12"/>
    </row>
    <row r="32" spans="2:52" x14ac:dyDescent="0.3">
      <c r="B32" s="3">
        <f>+Summary!$D$15</f>
        <v>200000</v>
      </c>
      <c r="C32" s="20">
        <f>+B32/Summary!$D$3</f>
        <v>3.6579789666209419</v>
      </c>
      <c r="D32" s="20">
        <f>+Z32</f>
        <v>0.25</v>
      </c>
      <c r="E32" s="3">
        <f>+C32/D32</f>
        <v>14.631915866483768</v>
      </c>
      <c r="F32" s="22">
        <f>+(U33+V33)/2*$E32</f>
        <v>27426.063100137177</v>
      </c>
      <c r="G32" s="10">
        <f>+-E32*(MAX(0,Summary!$D$6-AA32))</f>
        <v>0</v>
      </c>
      <c r="H32" s="10">
        <f>+F32+G32</f>
        <v>27426.063100137177</v>
      </c>
      <c r="I32" s="10">
        <f>+-$B$6</f>
        <v>-200000</v>
      </c>
      <c r="J32" s="10">
        <f>+I32+H32</f>
        <v>-172573.93689986283</v>
      </c>
      <c r="N32" s="87">
        <f>+(V33+U33)/2-O32</f>
        <v>1874.4</v>
      </c>
      <c r="O32" s="11">
        <f>+MAX(-AA32+Summary!$D$3,0)</f>
        <v>0</v>
      </c>
      <c r="P32" s="11"/>
      <c r="R32" s="40">
        <v>3.5499999999999997E-2</v>
      </c>
      <c r="S32" s="41">
        <v>20</v>
      </c>
      <c r="T32" s="72">
        <v>0.77900000000000003</v>
      </c>
      <c r="U32" s="42">
        <v>3.3000000000000002E-2</v>
      </c>
      <c r="V32" s="43">
        <v>3.4000000000000002E-2</v>
      </c>
      <c r="W32" s="72">
        <v>0.78900000000000003</v>
      </c>
      <c r="X32" s="41">
        <v>13.2</v>
      </c>
      <c r="Y32" s="41">
        <v>238</v>
      </c>
      <c r="Z32" s="41">
        <v>0.25</v>
      </c>
      <c r="AA32" s="82">
        <v>68000</v>
      </c>
      <c r="AB32" s="41">
        <v>0.24299999999999999</v>
      </c>
      <c r="AC32" s="41">
        <v>7.1</v>
      </c>
      <c r="AD32" s="72">
        <v>0</v>
      </c>
      <c r="AE32" s="42">
        <v>0.2145</v>
      </c>
      <c r="AF32" s="43" t="s">
        <v>15</v>
      </c>
      <c r="AG32" s="79" t="s">
        <v>15</v>
      </c>
      <c r="AH32" s="41" t="s">
        <v>15</v>
      </c>
      <c r="AI32" s="41" t="s">
        <v>15</v>
      </c>
      <c r="AJ32" s="44">
        <v>-0.75</v>
      </c>
      <c r="AM32" s="11">
        <f>+MAX(AA32-Summary!$D$3,0)</f>
        <v>13325</v>
      </c>
      <c r="AO32" s="87"/>
      <c r="AR32" s="10">
        <f>+B32</f>
        <v>200000</v>
      </c>
      <c r="AS32" s="2">
        <f>+AR32/Summary!$D$3</f>
        <v>3.6579789666209419</v>
      </c>
      <c r="AT32">
        <f>+AJ32</f>
        <v>-0.75</v>
      </c>
      <c r="AU32" s="3">
        <f>+AS32/AT32</f>
        <v>-4.8773052888279222</v>
      </c>
      <c r="AV32" s="20"/>
    </row>
    <row r="33" spans="2:48" ht="15" thickBot="1" x14ac:dyDescent="0.35">
      <c r="E33" s="2"/>
      <c r="N33" s="87"/>
      <c r="O33" s="12"/>
      <c r="P33" s="12"/>
      <c r="R33" s="45"/>
      <c r="S33" s="46"/>
      <c r="T33" s="73"/>
      <c r="U33" s="47">
        <v>1846.42</v>
      </c>
      <c r="V33" s="47">
        <v>1902.38</v>
      </c>
      <c r="W33" s="73"/>
      <c r="X33" s="46"/>
      <c r="Y33" s="46"/>
      <c r="Z33" s="46"/>
      <c r="AA33" s="83"/>
      <c r="AB33" s="46"/>
      <c r="AC33" s="46"/>
      <c r="AD33" s="73"/>
      <c r="AE33" s="47">
        <v>12005.5</v>
      </c>
      <c r="AF33" s="58" t="s">
        <v>15</v>
      </c>
      <c r="AG33" s="80"/>
      <c r="AH33" s="46"/>
      <c r="AI33" s="46"/>
      <c r="AJ33" s="48"/>
      <c r="AM33" s="12"/>
    </row>
    <row r="34" spans="2:48" x14ac:dyDescent="0.3">
      <c r="B34" s="3">
        <f>+Summary!$D$15</f>
        <v>200000</v>
      </c>
      <c r="C34" s="20">
        <f>+B34/Summary!$D$3</f>
        <v>3.6579789666209419</v>
      </c>
      <c r="D34" s="20">
        <f>+Z34</f>
        <v>0.2</v>
      </c>
      <c r="E34" s="3">
        <f>+C34/D34</f>
        <v>18.289894833104707</v>
      </c>
      <c r="F34" s="22">
        <f>+(U35+V35)/2*$E34</f>
        <v>25588.660265203471</v>
      </c>
      <c r="G34" s="10">
        <f>+-E34*(MAX(0,Summary!$D$6-AA34))</f>
        <v>0</v>
      </c>
      <c r="H34" s="10">
        <f>+F34+G34</f>
        <v>25588.660265203471</v>
      </c>
      <c r="I34" s="10">
        <f>+-$B$6</f>
        <v>-200000</v>
      </c>
      <c r="J34" s="10">
        <f>+I34+H34</f>
        <v>-174411.33973479652</v>
      </c>
      <c r="N34" s="87">
        <f>+(V35+U35)/2-O34</f>
        <v>1399.06</v>
      </c>
      <c r="O34" s="11">
        <f>+MAX(-AA34+Summary!$D$3,0)</f>
        <v>0</v>
      </c>
      <c r="P34" s="11"/>
      <c r="R34" s="31">
        <v>2.7E-2</v>
      </c>
      <c r="S34" s="32">
        <v>24.3</v>
      </c>
      <c r="T34" s="70">
        <v>0.80600000000000005</v>
      </c>
      <c r="U34" s="33">
        <v>2.4500000000000001E-2</v>
      </c>
      <c r="V34" s="34">
        <v>2.5499999999999998E-2</v>
      </c>
      <c r="W34" s="70">
        <v>0.81699999999999995</v>
      </c>
      <c r="X34" s="32">
        <v>11.9</v>
      </c>
      <c r="Y34" s="32">
        <v>317.7</v>
      </c>
      <c r="Z34" s="32">
        <v>0.2</v>
      </c>
      <c r="AA34" s="82">
        <v>72000</v>
      </c>
      <c r="AB34" s="32" t="s">
        <v>15</v>
      </c>
      <c r="AC34" s="32" t="s">
        <v>15</v>
      </c>
      <c r="AD34" s="77" t="s">
        <v>15</v>
      </c>
      <c r="AE34" s="33" t="s">
        <v>15</v>
      </c>
      <c r="AF34" s="34" t="s">
        <v>15</v>
      </c>
      <c r="AG34" s="77" t="s">
        <v>15</v>
      </c>
      <c r="AH34" s="32" t="s">
        <v>15</v>
      </c>
      <c r="AI34" s="32" t="s">
        <v>15</v>
      </c>
      <c r="AJ34" s="35">
        <v>-0.8</v>
      </c>
      <c r="AM34" s="11">
        <f>+MAX(AA34-Summary!$D$3,0)</f>
        <v>17325</v>
      </c>
      <c r="AO34" s="87"/>
      <c r="AR34" s="10">
        <f>+B34</f>
        <v>200000</v>
      </c>
      <c r="AS34" s="2">
        <f>+AR34/Summary!$D$3</f>
        <v>3.6579789666209419</v>
      </c>
      <c r="AT34">
        <f>+AJ34</f>
        <v>-0.8</v>
      </c>
      <c r="AU34" s="3">
        <f>+AS34/AT34</f>
        <v>-4.5724737082761768</v>
      </c>
      <c r="AV34" s="20"/>
    </row>
    <row r="35" spans="2:48" ht="15" thickBot="1" x14ac:dyDescent="0.35">
      <c r="E35" s="2"/>
      <c r="N35" s="87"/>
      <c r="O35" s="12"/>
      <c r="P35" s="12"/>
      <c r="R35" s="36"/>
      <c r="S35" s="37"/>
      <c r="T35" s="71"/>
      <c r="U35" s="38">
        <v>1371.08</v>
      </c>
      <c r="V35" s="38">
        <v>1427.04</v>
      </c>
      <c r="W35" s="71"/>
      <c r="X35" s="37"/>
      <c r="Y35" s="37"/>
      <c r="Z35" s="37"/>
      <c r="AA35" s="83"/>
      <c r="AB35" s="37"/>
      <c r="AC35" s="37"/>
      <c r="AD35" s="78"/>
      <c r="AE35" s="59" t="s">
        <v>15</v>
      </c>
      <c r="AF35" s="59" t="s">
        <v>15</v>
      </c>
      <c r="AG35" s="78"/>
      <c r="AH35" s="37"/>
      <c r="AI35" s="37"/>
      <c r="AJ35" s="39"/>
      <c r="AM35" s="12"/>
    </row>
    <row r="36" spans="2:48" x14ac:dyDescent="0.3">
      <c r="B36" s="3">
        <f>+Summary!$D$15</f>
        <v>200000</v>
      </c>
      <c r="C36" s="20">
        <f>+B36/Summary!$D$3</f>
        <v>3.6579789666209419</v>
      </c>
      <c r="D36" s="20">
        <f>+Z36</f>
        <v>0.15</v>
      </c>
      <c r="E36" s="3">
        <f>+C36/D36</f>
        <v>24.386526444139612</v>
      </c>
      <c r="F36" s="22">
        <f>+(U37+V37)/2*$E36</f>
        <v>26252.095717116292</v>
      </c>
      <c r="G36" s="10">
        <f>+-E36*(MAX(0,Summary!$D$6-AA36))</f>
        <v>0</v>
      </c>
      <c r="H36" s="10">
        <f>+F36+G36</f>
        <v>26252.095717116292</v>
      </c>
      <c r="I36" s="10">
        <f>+-$B$6</f>
        <v>-200000</v>
      </c>
      <c r="J36" s="10">
        <f>+I36+H36</f>
        <v>-173747.90428288371</v>
      </c>
      <c r="N36" s="87">
        <f>+(V37+U37)/2-O36</f>
        <v>1076.5</v>
      </c>
      <c r="O36" s="11">
        <f>+MAX(-AA36+Summary!$D$3,0)</f>
        <v>0</v>
      </c>
      <c r="P36" s="11"/>
      <c r="R36" s="40">
        <v>2.3E-2</v>
      </c>
      <c r="S36" s="41">
        <v>22</v>
      </c>
      <c r="T36" s="72">
        <v>0.83399999999999996</v>
      </c>
      <c r="U36" s="42">
        <v>1.8499999999999999E-2</v>
      </c>
      <c r="V36" s="43">
        <v>0.02</v>
      </c>
      <c r="W36" s="72">
        <v>0.85399999999999998</v>
      </c>
      <c r="X36" s="41">
        <v>15.9</v>
      </c>
      <c r="Y36" s="41">
        <v>8.5</v>
      </c>
      <c r="Z36" s="41">
        <v>0.15</v>
      </c>
      <c r="AA36" s="82">
        <v>76000</v>
      </c>
      <c r="AB36" s="41" t="s">
        <v>15</v>
      </c>
      <c r="AC36" s="41" t="s">
        <v>15</v>
      </c>
      <c r="AD36" s="79" t="s">
        <v>15</v>
      </c>
      <c r="AE36" s="42" t="s">
        <v>15</v>
      </c>
      <c r="AF36" s="43" t="s">
        <v>15</v>
      </c>
      <c r="AG36" s="79" t="s">
        <v>15</v>
      </c>
      <c r="AH36" s="41" t="s">
        <v>15</v>
      </c>
      <c r="AI36" s="41" t="s">
        <v>15</v>
      </c>
      <c r="AJ36" s="44">
        <v>-0.84</v>
      </c>
      <c r="AM36" s="11">
        <f>+MAX(AA36-Summary!$D$3,0)</f>
        <v>21325</v>
      </c>
      <c r="AO36" s="87"/>
      <c r="AR36" s="10">
        <f>+B36</f>
        <v>200000</v>
      </c>
      <c r="AS36" s="2">
        <f>+AR36/Summary!$D$3</f>
        <v>3.6579789666209419</v>
      </c>
      <c r="AT36">
        <f>+AJ36</f>
        <v>-0.84</v>
      </c>
      <c r="AU36" s="3">
        <f>+AS36/AT36</f>
        <v>-4.3547368650249307</v>
      </c>
      <c r="AV36" s="20"/>
    </row>
    <row r="37" spans="2:48" ht="15" thickBot="1" x14ac:dyDescent="0.35">
      <c r="E37" s="2"/>
      <c r="N37" s="87"/>
      <c r="O37" s="12"/>
      <c r="P37" s="12"/>
      <c r="R37" s="45"/>
      <c r="S37" s="46"/>
      <c r="T37" s="73"/>
      <c r="U37" s="47">
        <v>1034.56</v>
      </c>
      <c r="V37" s="47">
        <v>1118.44</v>
      </c>
      <c r="W37" s="73"/>
      <c r="X37" s="46"/>
      <c r="Y37" s="46"/>
      <c r="Z37" s="46"/>
      <c r="AA37" s="83"/>
      <c r="AB37" s="46"/>
      <c r="AC37" s="46"/>
      <c r="AD37" s="80"/>
      <c r="AE37" s="58" t="s">
        <v>15</v>
      </c>
      <c r="AF37" s="58" t="s">
        <v>15</v>
      </c>
      <c r="AG37" s="80"/>
      <c r="AH37" s="46"/>
      <c r="AI37" s="46"/>
      <c r="AJ37" s="48"/>
      <c r="AM37" s="12"/>
    </row>
    <row r="38" spans="2:48" x14ac:dyDescent="0.3">
      <c r="B38" s="3">
        <f>+Summary!$D$15</f>
        <v>200000</v>
      </c>
      <c r="C38" s="20">
        <f>+B38/Summary!$D$3</f>
        <v>3.6579789666209419</v>
      </c>
      <c r="D38" s="20">
        <f>+Z38</f>
        <v>0.12</v>
      </c>
      <c r="E38" s="3">
        <f>+C38/D38</f>
        <v>30.483158055174517</v>
      </c>
      <c r="F38" s="22">
        <f>+(U39+V39)/2*$E38</f>
        <v>26429.202865416857</v>
      </c>
      <c r="G38" s="10">
        <f>+-E38*(MAX(0,Summary!$D$6-AA38))</f>
        <v>0</v>
      </c>
      <c r="H38" s="10">
        <f>+F38+G38</f>
        <v>26429.202865416857</v>
      </c>
      <c r="I38" s="10">
        <f>+-$B$6</f>
        <v>-200000</v>
      </c>
      <c r="J38" s="10">
        <f>+I38+H38</f>
        <v>-173570.79713458315</v>
      </c>
      <c r="N38" s="87">
        <f>+(V39+U39)/2-O38</f>
        <v>867.01</v>
      </c>
      <c r="O38" s="11">
        <f>+MAX(-AA38+Summary!$D$3,0)</f>
        <v>0</v>
      </c>
      <c r="P38" s="11"/>
      <c r="R38" s="31">
        <v>1.6E-2</v>
      </c>
      <c r="S38" s="32">
        <v>0.5</v>
      </c>
      <c r="T38" s="70">
        <v>0.872</v>
      </c>
      <c r="U38" s="33">
        <v>1.4999999999999999E-2</v>
      </c>
      <c r="V38" s="34">
        <v>1.6E-2</v>
      </c>
      <c r="W38" s="70">
        <v>0.88700000000000001</v>
      </c>
      <c r="X38" s="32">
        <v>28.5</v>
      </c>
      <c r="Y38" s="32">
        <v>747.6</v>
      </c>
      <c r="Z38" s="32">
        <v>0.12</v>
      </c>
      <c r="AA38" s="82">
        <v>80000</v>
      </c>
      <c r="AB38" s="32" t="s">
        <v>15</v>
      </c>
      <c r="AC38" s="32" t="s">
        <v>15</v>
      </c>
      <c r="AD38" s="77" t="s">
        <v>15</v>
      </c>
      <c r="AE38" s="33" t="s">
        <v>15</v>
      </c>
      <c r="AF38" s="34" t="s">
        <v>15</v>
      </c>
      <c r="AG38" s="77" t="s">
        <v>15</v>
      </c>
      <c r="AH38" s="32" t="s">
        <v>15</v>
      </c>
      <c r="AI38" s="32" t="s">
        <v>15</v>
      </c>
      <c r="AJ38" s="35">
        <v>-0.88</v>
      </c>
      <c r="AM38" s="11">
        <f>+MAX(AA38-Summary!$D$3,0)</f>
        <v>25325</v>
      </c>
      <c r="AR38" s="10">
        <f>+B38</f>
        <v>200000</v>
      </c>
      <c r="AS38" s="2">
        <f>+AR38/Summary!$D$3</f>
        <v>3.6579789666209419</v>
      </c>
      <c r="AT38">
        <f>+AJ38</f>
        <v>-0.88</v>
      </c>
      <c r="AU38" s="3">
        <f>+AS38/AT38</f>
        <v>-4.15679428025107</v>
      </c>
    </row>
    <row r="39" spans="2:48" ht="15" thickBot="1" x14ac:dyDescent="0.35">
      <c r="E39" s="2"/>
      <c r="N39" s="87"/>
      <c r="O39" s="12"/>
      <c r="P39" s="12"/>
      <c r="R39" s="36"/>
      <c r="S39" s="37"/>
      <c r="T39" s="71"/>
      <c r="U39" s="38">
        <v>839.04</v>
      </c>
      <c r="V39" s="38">
        <v>894.98</v>
      </c>
      <c r="W39" s="71"/>
      <c r="X39" s="37"/>
      <c r="Y39" s="37"/>
      <c r="Z39" s="37"/>
      <c r="AA39" s="83"/>
      <c r="AB39" s="37"/>
      <c r="AC39" s="37"/>
      <c r="AD39" s="78"/>
      <c r="AE39" s="59" t="s">
        <v>15</v>
      </c>
      <c r="AF39" s="59" t="s">
        <v>15</v>
      </c>
      <c r="AG39" s="78"/>
      <c r="AH39" s="37"/>
      <c r="AI39" s="37"/>
      <c r="AJ39" s="39"/>
      <c r="AM39" s="12"/>
    </row>
    <row r="40" spans="2:48" x14ac:dyDescent="0.3">
      <c r="B40" s="3">
        <f>+Summary!$D$15</f>
        <v>200000</v>
      </c>
      <c r="C40" s="20">
        <f>+B40/Summary!$D$3</f>
        <v>3.6579789666209419</v>
      </c>
      <c r="D40" s="20">
        <f>+Z40</f>
        <v>0.1</v>
      </c>
      <c r="E40" s="3">
        <f>+C40/D40</f>
        <v>36.579789666209415</v>
      </c>
      <c r="F40" s="22">
        <f>+(U41+V41)/2*$E40</f>
        <v>24553.452217649745</v>
      </c>
      <c r="G40" s="10">
        <f>+-E40*(MAX(0,Summary!$D$6-AA40))</f>
        <v>0</v>
      </c>
      <c r="H40" s="10">
        <f>+F40+G40</f>
        <v>24553.452217649745</v>
      </c>
      <c r="I40" s="10">
        <f>+-$B$6</f>
        <v>-200000</v>
      </c>
      <c r="J40" s="10">
        <f>+I40+H40</f>
        <v>-175446.54778235024</v>
      </c>
      <c r="N40" s="87">
        <f>+(V41+U41)/2-O40</f>
        <v>671.23</v>
      </c>
      <c r="O40" s="11">
        <f>+MAX(-AA40+Summary!$D$3,0)</f>
        <v>0</v>
      </c>
      <c r="P40" s="11"/>
      <c r="R40" s="40">
        <v>1.4E-2</v>
      </c>
      <c r="S40" s="41">
        <v>30</v>
      </c>
      <c r="T40" s="72">
        <v>0.89200000000000002</v>
      </c>
      <c r="U40" s="42">
        <v>1.15E-2</v>
      </c>
      <c r="V40" s="43">
        <v>1.2500000000000001E-2</v>
      </c>
      <c r="W40" s="72">
        <v>0.91</v>
      </c>
      <c r="X40" s="41">
        <v>28.1</v>
      </c>
      <c r="Y40" s="41">
        <v>57.3</v>
      </c>
      <c r="Z40" s="41">
        <v>0.1</v>
      </c>
      <c r="AA40" s="82">
        <v>84000</v>
      </c>
      <c r="AB40" s="41" t="s">
        <v>15</v>
      </c>
      <c r="AC40" s="41" t="s">
        <v>15</v>
      </c>
      <c r="AD40" s="79" t="s">
        <v>15</v>
      </c>
      <c r="AE40" s="42" t="s">
        <v>15</v>
      </c>
      <c r="AF40" s="43" t="s">
        <v>15</v>
      </c>
      <c r="AG40" s="79" t="s">
        <v>15</v>
      </c>
      <c r="AH40" s="41" t="s">
        <v>15</v>
      </c>
      <c r="AI40" s="41" t="s">
        <v>15</v>
      </c>
      <c r="AJ40" s="44">
        <v>-0.9</v>
      </c>
      <c r="AM40" s="11">
        <f>+MAX(AA40-Summary!$D$3,0)</f>
        <v>29325</v>
      </c>
      <c r="AR40" s="10">
        <f>+B40</f>
        <v>200000</v>
      </c>
      <c r="AS40" s="2">
        <f>+AR40/Summary!$D$3</f>
        <v>3.6579789666209419</v>
      </c>
      <c r="AT40">
        <f>+AJ40</f>
        <v>-0.9</v>
      </c>
      <c r="AU40" s="3">
        <f>+AS40/AT40</f>
        <v>-4.0644210740232687</v>
      </c>
    </row>
    <row r="41" spans="2:48" ht="15" thickBot="1" x14ac:dyDescent="0.35">
      <c r="E41" s="2"/>
      <c r="N41" s="87"/>
      <c r="O41" s="12"/>
      <c r="P41" s="12"/>
      <c r="R41" s="45"/>
      <c r="S41" s="46"/>
      <c r="T41" s="73"/>
      <c r="U41" s="47">
        <v>643.26</v>
      </c>
      <c r="V41" s="47">
        <v>699.2</v>
      </c>
      <c r="W41" s="73"/>
      <c r="X41" s="46"/>
      <c r="Y41" s="46"/>
      <c r="Z41" s="46"/>
      <c r="AA41" s="83"/>
      <c r="AB41" s="46"/>
      <c r="AC41" s="46"/>
      <c r="AD41" s="80"/>
      <c r="AE41" s="58" t="s">
        <v>15</v>
      </c>
      <c r="AF41" s="58" t="s">
        <v>15</v>
      </c>
      <c r="AG41" s="80"/>
      <c r="AH41" s="46"/>
      <c r="AI41" s="46"/>
      <c r="AJ41" s="48"/>
      <c r="AM41" s="12"/>
    </row>
    <row r="42" spans="2:48" x14ac:dyDescent="0.3">
      <c r="B42" s="3">
        <f>+Summary!$D$15</f>
        <v>200000</v>
      </c>
      <c r="C42" s="20">
        <f>+B42/Summary!$D$3</f>
        <v>3.6579789666209419</v>
      </c>
      <c r="D42" s="20">
        <f>+Z42</f>
        <v>0.08</v>
      </c>
      <c r="E42" s="3">
        <f>+C42/D42</f>
        <v>45.72473708276177</v>
      </c>
      <c r="F42" s="22">
        <f>+(U43+V43)/2*$E42</f>
        <v>24312.528577960675</v>
      </c>
      <c r="G42" s="10">
        <f>+-E42*(MAX(0,Summary!$D$6-AA42))</f>
        <v>0</v>
      </c>
      <c r="H42" s="10">
        <f>+F42+G42</f>
        <v>24312.528577960675</v>
      </c>
      <c r="I42" s="10">
        <f>+-$B$6</f>
        <v>-200000</v>
      </c>
      <c r="J42" s="10">
        <f>+I42+H42</f>
        <v>-175687.47142203932</v>
      </c>
      <c r="N42" s="87">
        <f>+(V43+U43)/2-O42</f>
        <v>531.71500000000003</v>
      </c>
      <c r="O42" s="11">
        <f>+MAX(-AA42+Summary!$D$3,0)</f>
        <v>0</v>
      </c>
      <c r="P42" s="11"/>
      <c r="R42" s="31">
        <v>1.15E-2</v>
      </c>
      <c r="S42" s="32">
        <v>30.5</v>
      </c>
      <c r="T42" s="70">
        <v>0.91300000000000003</v>
      </c>
      <c r="U42" s="33">
        <v>8.9999999999999993E-3</v>
      </c>
      <c r="V42" s="34">
        <v>0.01</v>
      </c>
      <c r="W42" s="70">
        <v>0.93400000000000005</v>
      </c>
      <c r="X42" s="32">
        <v>26.4</v>
      </c>
      <c r="Y42" s="32">
        <v>192.3</v>
      </c>
      <c r="Z42" s="32">
        <v>0.08</v>
      </c>
      <c r="AA42" s="82">
        <v>88000</v>
      </c>
      <c r="AB42" s="32" t="s">
        <v>15</v>
      </c>
      <c r="AC42" s="32" t="s">
        <v>15</v>
      </c>
      <c r="AD42" s="77" t="s">
        <v>15</v>
      </c>
      <c r="AE42" s="33" t="s">
        <v>15</v>
      </c>
      <c r="AF42" s="34" t="s">
        <v>15</v>
      </c>
      <c r="AG42" s="77" t="s">
        <v>15</v>
      </c>
      <c r="AH42" s="32" t="s">
        <v>15</v>
      </c>
      <c r="AI42" s="32" t="s">
        <v>15</v>
      </c>
      <c r="AJ42" s="35">
        <v>-0.92</v>
      </c>
      <c r="AM42" s="11">
        <f>+MAX(AA42-Summary!$D$3,0)</f>
        <v>33325</v>
      </c>
      <c r="AR42" s="10">
        <f>+B42</f>
        <v>200000</v>
      </c>
      <c r="AS42" s="2">
        <f>+AR42/Summary!$D$3</f>
        <v>3.6579789666209419</v>
      </c>
      <c r="AT42">
        <f>+AJ42</f>
        <v>-0.92</v>
      </c>
      <c r="AU42" s="3">
        <f>+AS42/AT42</f>
        <v>-3.9760640941531977</v>
      </c>
    </row>
    <row r="43" spans="2:48" ht="15" thickBot="1" x14ac:dyDescent="0.35">
      <c r="E43" s="2"/>
      <c r="N43" s="87"/>
      <c r="O43" s="12"/>
      <c r="P43" s="12"/>
      <c r="R43" s="36"/>
      <c r="S43" s="37"/>
      <c r="T43" s="71"/>
      <c r="U43" s="38">
        <v>503.73</v>
      </c>
      <c r="V43" s="38">
        <v>559.70000000000005</v>
      </c>
      <c r="W43" s="71"/>
      <c r="X43" s="37"/>
      <c r="Y43" s="37"/>
      <c r="Z43" s="37"/>
      <c r="AA43" s="83"/>
      <c r="AB43" s="37"/>
      <c r="AC43" s="37"/>
      <c r="AD43" s="78"/>
      <c r="AE43" s="59" t="s">
        <v>15</v>
      </c>
      <c r="AF43" s="59" t="s">
        <v>15</v>
      </c>
      <c r="AG43" s="78"/>
      <c r="AH43" s="37"/>
      <c r="AI43" s="37"/>
      <c r="AJ43" s="39"/>
      <c r="AM43" s="12"/>
    </row>
    <row r="44" spans="2:48" x14ac:dyDescent="0.3">
      <c r="B44" s="3">
        <f>+Summary!$D$15</f>
        <v>200000</v>
      </c>
      <c r="C44" s="20">
        <f>+B44/Summary!$D$3</f>
        <v>3.6579789666209419</v>
      </c>
      <c r="D44" s="20">
        <f>+Z44</f>
        <v>0.05</v>
      </c>
      <c r="E44" s="3">
        <f>+C44/D44</f>
        <v>73.159579332418829</v>
      </c>
      <c r="F44" s="22">
        <f>+(U45+V45)/2*$E44</f>
        <v>23541.289437585729</v>
      </c>
      <c r="G44" s="10">
        <f>+-E44*(MAX(0,Summary!$D$6-AA44))</f>
        <v>0</v>
      </c>
      <c r="H44" s="10">
        <f>+F44+G44</f>
        <v>23541.289437585729</v>
      </c>
      <c r="I44" s="10">
        <f>+-$B$6</f>
        <v>-200000</v>
      </c>
      <c r="J44" s="10">
        <f>+I44+H44</f>
        <v>-176458.71056241426</v>
      </c>
      <c r="N44" s="87">
        <f>+(V45+U45)/2-O44</f>
        <v>321.77999999999997</v>
      </c>
      <c r="O44" s="11">
        <f>+MAX(-AA44+Summary!$D$3,0)</f>
        <v>0</v>
      </c>
      <c r="P44" s="11"/>
      <c r="R44" s="40">
        <v>6.4999999999999997E-3</v>
      </c>
      <c r="S44" s="41">
        <v>2</v>
      </c>
      <c r="T44" s="72">
        <v>1.0009999999999999</v>
      </c>
      <c r="U44" s="42">
        <v>5.4999999999999997E-3</v>
      </c>
      <c r="V44" s="43">
        <v>6.0000000000000001E-3</v>
      </c>
      <c r="W44" s="72">
        <v>1.0169999999999999</v>
      </c>
      <c r="X44" s="41">
        <v>16.600000000000001</v>
      </c>
      <c r="Y44" s="41">
        <v>78.5</v>
      </c>
      <c r="Z44" s="41">
        <v>0.05</v>
      </c>
      <c r="AA44" s="82">
        <v>100000</v>
      </c>
      <c r="AB44" s="41" t="s">
        <v>15</v>
      </c>
      <c r="AC44" s="41" t="s">
        <v>15</v>
      </c>
      <c r="AD44" s="79" t="s">
        <v>15</v>
      </c>
      <c r="AE44" s="42" t="s">
        <v>15</v>
      </c>
      <c r="AF44" s="43" t="s">
        <v>15</v>
      </c>
      <c r="AG44" s="79" t="s">
        <v>15</v>
      </c>
      <c r="AH44" s="41" t="s">
        <v>15</v>
      </c>
      <c r="AI44" s="41" t="s">
        <v>15</v>
      </c>
      <c r="AJ44" s="44">
        <v>-0.95</v>
      </c>
      <c r="AM44" s="11">
        <f>+MAX(AA44-Summary!$D$3,0)</f>
        <v>45325</v>
      </c>
      <c r="AR44" s="10">
        <f>+B44</f>
        <v>200000</v>
      </c>
      <c r="AS44" s="2">
        <f>+AR44/Summary!$D$3</f>
        <v>3.6579789666209419</v>
      </c>
      <c r="AT44">
        <f>+AJ44</f>
        <v>-0.95</v>
      </c>
      <c r="AU44" s="3">
        <f>+AS44/AT44</f>
        <v>-3.8505041753904652</v>
      </c>
    </row>
    <row r="45" spans="2:48" ht="15" thickBot="1" x14ac:dyDescent="0.35">
      <c r="E45" s="2"/>
      <c r="O45" s="12"/>
      <c r="P45" s="12"/>
      <c r="R45" s="45"/>
      <c r="S45" s="46"/>
      <c r="T45" s="73"/>
      <c r="U45" s="47">
        <v>307.79000000000002</v>
      </c>
      <c r="V45" s="47">
        <v>335.77</v>
      </c>
      <c r="W45" s="73"/>
      <c r="X45" s="46"/>
      <c r="Y45" s="46"/>
      <c r="Z45" s="46"/>
      <c r="AA45" s="83"/>
      <c r="AB45" s="46"/>
      <c r="AC45" s="46"/>
      <c r="AD45" s="80"/>
      <c r="AE45" s="58" t="s">
        <v>15</v>
      </c>
      <c r="AF45" s="58" t="s">
        <v>15</v>
      </c>
      <c r="AG45" s="80"/>
      <c r="AH45" s="46"/>
      <c r="AI45" s="46"/>
      <c r="AJ45" s="48"/>
      <c r="AM45" s="12"/>
    </row>
    <row r="46" spans="2:48" x14ac:dyDescent="0.3">
      <c r="E46" s="2"/>
      <c r="N46" s="87">
        <f>+(V47+U47)/2-O46</f>
        <v>153.85</v>
      </c>
      <c r="O46" s="11">
        <f>+MAX(-AA46+Summary!$D$3,0)</f>
        <v>0</v>
      </c>
      <c r="P46" s="11"/>
      <c r="R46" s="31">
        <v>3.5000000000000001E-3</v>
      </c>
      <c r="S46" s="32">
        <v>60.4</v>
      </c>
      <c r="T46" s="70">
        <v>1.0669999999999999</v>
      </c>
      <c r="U46" s="33">
        <v>2E-3</v>
      </c>
      <c r="V46" s="34">
        <v>3.5000000000000001E-3</v>
      </c>
      <c r="W46" s="70">
        <v>1.1539999999999999</v>
      </c>
      <c r="X46" s="32">
        <v>27.6</v>
      </c>
      <c r="Y46" s="32">
        <v>80.900000000000006</v>
      </c>
      <c r="Z46" s="32">
        <v>0.02</v>
      </c>
      <c r="AA46" s="82">
        <v>120000</v>
      </c>
      <c r="AB46" s="32" t="s">
        <v>15</v>
      </c>
      <c r="AC46" s="32" t="s">
        <v>15</v>
      </c>
      <c r="AD46" s="77" t="s">
        <v>15</v>
      </c>
      <c r="AE46" s="33" t="s">
        <v>15</v>
      </c>
      <c r="AF46" s="34" t="s">
        <v>15</v>
      </c>
      <c r="AG46" s="77" t="s">
        <v>15</v>
      </c>
      <c r="AH46" s="32" t="s">
        <v>15</v>
      </c>
      <c r="AI46" s="32" t="s">
        <v>15</v>
      </c>
      <c r="AJ46" s="35">
        <v>-0.98</v>
      </c>
      <c r="AM46" s="11">
        <f>+MAX(AA46-Summary!$D$3,0)</f>
        <v>65325</v>
      </c>
      <c r="AR46" s="10">
        <f>+B46</f>
        <v>0</v>
      </c>
      <c r="AS46" s="2">
        <f>+AR46/Summary!$D$3</f>
        <v>0</v>
      </c>
      <c r="AT46">
        <f>+AJ46</f>
        <v>-0.98</v>
      </c>
      <c r="AU46" s="3">
        <f>+AS46/AT46</f>
        <v>0</v>
      </c>
    </row>
    <row r="47" spans="2:48" ht="15" thickBot="1" x14ac:dyDescent="0.35">
      <c r="E47" s="2"/>
      <c r="R47" s="60"/>
      <c r="S47" s="61"/>
      <c r="T47" s="76"/>
      <c r="U47" s="62">
        <v>111.89</v>
      </c>
      <c r="V47" s="62">
        <v>195.81</v>
      </c>
      <c r="W47" s="76"/>
      <c r="X47" s="61"/>
      <c r="Y47" s="61"/>
      <c r="Z47" s="61"/>
      <c r="AA47" s="86"/>
      <c r="AB47" s="61"/>
      <c r="AC47" s="61"/>
      <c r="AD47" s="81"/>
      <c r="AE47" s="63" t="s">
        <v>15</v>
      </c>
      <c r="AF47" s="63" t="s">
        <v>15</v>
      </c>
      <c r="AG47" s="81"/>
      <c r="AH47" s="61"/>
      <c r="AI47" s="61"/>
      <c r="AJ47" s="64"/>
    </row>
    <row r="48" spans="2:48" x14ac:dyDescent="0.3">
      <c r="E48" s="2"/>
      <c r="AR48" s="10">
        <f>+B48</f>
        <v>0</v>
      </c>
      <c r="AS48" s="2">
        <f>+AR48/Summary!$D$3</f>
        <v>0</v>
      </c>
      <c r="AT48">
        <f>+AJ48</f>
        <v>0</v>
      </c>
      <c r="AU48" s="3"/>
    </row>
    <row r="49" spans="5:14" x14ac:dyDescent="0.3">
      <c r="E49" s="2"/>
    </row>
    <row r="50" spans="5:14" x14ac:dyDescent="0.3">
      <c r="E50" s="2"/>
    </row>
    <row r="51" spans="5:14" x14ac:dyDescent="0.3">
      <c r="E51" s="2"/>
    </row>
    <row r="52" spans="5:14" x14ac:dyDescent="0.3">
      <c r="E52" s="2"/>
    </row>
    <row r="53" spans="5:14" x14ac:dyDescent="0.3">
      <c r="E53" s="2"/>
    </row>
    <row r="54" spans="5:14" x14ac:dyDescent="0.3">
      <c r="E54" s="2"/>
    </row>
    <row r="55" spans="5:14" x14ac:dyDescent="0.3">
      <c r="E55" s="2"/>
    </row>
    <row r="56" spans="5:14" x14ac:dyDescent="0.3">
      <c r="E56" s="2"/>
    </row>
    <row r="57" spans="5:14" x14ac:dyDescent="0.3">
      <c r="E57" s="2"/>
      <c r="N57" t="s">
        <v>45</v>
      </c>
    </row>
    <row r="58" spans="5:14" x14ac:dyDescent="0.3">
      <c r="E58" s="2"/>
      <c r="N58" s="19" t="s">
        <v>43</v>
      </c>
    </row>
    <row r="59" spans="5:14" x14ac:dyDescent="0.3">
      <c r="E59" s="2"/>
    </row>
    <row r="60" spans="5:14" x14ac:dyDescent="0.3">
      <c r="E60" s="2"/>
    </row>
    <row r="61" spans="5:14" x14ac:dyDescent="0.3">
      <c r="E61" s="2"/>
    </row>
    <row r="62" spans="5:14" x14ac:dyDescent="0.3">
      <c r="E62" s="2"/>
    </row>
    <row r="63" spans="5:14" x14ac:dyDescent="0.3">
      <c r="E63" s="2"/>
    </row>
    <row r="64" spans="5:14" x14ac:dyDescent="0.3">
      <c r="E64" s="2"/>
    </row>
    <row r="65" spans="5:5" x14ac:dyDescent="0.3">
      <c r="E65" s="2"/>
    </row>
    <row r="66" spans="5:5" x14ac:dyDescent="0.3">
      <c r="E66" s="2"/>
    </row>
    <row r="67" spans="5:5" x14ac:dyDescent="0.3">
      <c r="E67" s="2"/>
    </row>
    <row r="68" spans="5:5" x14ac:dyDescent="0.3">
      <c r="E68" s="2"/>
    </row>
    <row r="69" spans="5:5" x14ac:dyDescent="0.3">
      <c r="E69" s="2"/>
    </row>
    <row r="70" spans="5:5" x14ac:dyDescent="0.3">
      <c r="E70" s="2"/>
    </row>
    <row r="71" spans="5:5" x14ac:dyDescent="0.3">
      <c r="E71" s="2"/>
    </row>
    <row r="72" spans="5:5" x14ac:dyDescent="0.3">
      <c r="E72" s="2"/>
    </row>
    <row r="73" spans="5:5" x14ac:dyDescent="0.3">
      <c r="E73" s="2"/>
    </row>
    <row r="74" spans="5:5" x14ac:dyDescent="0.3">
      <c r="E74" s="2"/>
    </row>
    <row r="1048575" spans="5:5" x14ac:dyDescent="0.3">
      <c r="E1048575" s="3"/>
    </row>
  </sheetData>
  <mergeCells count="323">
    <mergeCell ref="F4:H4"/>
    <mergeCell ref="AK26:AK27"/>
    <mergeCell ref="B2:E2"/>
    <mergeCell ref="F2:J2"/>
    <mergeCell ref="AR2:AU2"/>
    <mergeCell ref="AV2:AZ2"/>
    <mergeCell ref="AV4:AX4"/>
    <mergeCell ref="AH6:AH7"/>
    <mergeCell ref="AI6:AI7"/>
    <mergeCell ref="AJ6:AJ7"/>
    <mergeCell ref="R8:R9"/>
    <mergeCell ref="S8:S9"/>
    <mergeCell ref="T8:T9"/>
    <mergeCell ref="W8:W9"/>
    <mergeCell ref="X8:X9"/>
    <mergeCell ref="Y8:Y9"/>
    <mergeCell ref="Z8:Z9"/>
    <mergeCell ref="Z6:Z7"/>
    <mergeCell ref="AA6:AA7"/>
    <mergeCell ref="AB6:AB7"/>
    <mergeCell ref="AC6:AC7"/>
    <mergeCell ref="AD6:AD7"/>
    <mergeCell ref="AG6:AG7"/>
    <mergeCell ref="R6:R7"/>
    <mergeCell ref="S6:S7"/>
    <mergeCell ref="T6:T7"/>
    <mergeCell ref="W6:W7"/>
    <mergeCell ref="X6:X7"/>
    <mergeCell ref="Y6:Y7"/>
    <mergeCell ref="AI8:AI9"/>
    <mergeCell ref="AJ8:AJ9"/>
    <mergeCell ref="R10:R11"/>
    <mergeCell ref="S10:S11"/>
    <mergeCell ref="T10:T11"/>
    <mergeCell ref="W10:W11"/>
    <mergeCell ref="X10:X11"/>
    <mergeCell ref="Y10:Y11"/>
    <mergeCell ref="Z10:Z11"/>
    <mergeCell ref="AA10:AA11"/>
    <mergeCell ref="AA8:AA9"/>
    <mergeCell ref="AB8:AB9"/>
    <mergeCell ref="AC8:AC9"/>
    <mergeCell ref="AD8:AD9"/>
    <mergeCell ref="AG8:AG9"/>
    <mergeCell ref="AH8:AH9"/>
    <mergeCell ref="AC12:AC13"/>
    <mergeCell ref="AD12:AD13"/>
    <mergeCell ref="AG12:AG13"/>
    <mergeCell ref="AH12:AH13"/>
    <mergeCell ref="AI12:AI13"/>
    <mergeCell ref="AJ12:AJ13"/>
    <mergeCell ref="AJ10:AJ11"/>
    <mergeCell ref="R12:R13"/>
    <mergeCell ref="S12:S13"/>
    <mergeCell ref="T12:T13"/>
    <mergeCell ref="W12:W13"/>
    <mergeCell ref="X12:X13"/>
    <mergeCell ref="Y12:Y13"/>
    <mergeCell ref="Z12:Z13"/>
    <mergeCell ref="AA12:AA13"/>
    <mergeCell ref="AB12:AB13"/>
    <mergeCell ref="AB10:AB11"/>
    <mergeCell ref="AC10:AC11"/>
    <mergeCell ref="AD10:AD11"/>
    <mergeCell ref="AG10:AG11"/>
    <mergeCell ref="AH10:AH11"/>
    <mergeCell ref="AI10:AI11"/>
    <mergeCell ref="AH14:AH15"/>
    <mergeCell ref="AI14:AI15"/>
    <mergeCell ref="AJ14:AJ15"/>
    <mergeCell ref="R16:R17"/>
    <mergeCell ref="S16:S17"/>
    <mergeCell ref="T16:T17"/>
    <mergeCell ref="W16:W17"/>
    <mergeCell ref="X16:X17"/>
    <mergeCell ref="Y16:Y17"/>
    <mergeCell ref="Z16:Z17"/>
    <mergeCell ref="Z14:Z15"/>
    <mergeCell ref="AA14:AA15"/>
    <mergeCell ref="AB14:AB15"/>
    <mergeCell ref="AC14:AC15"/>
    <mergeCell ref="AD14:AD15"/>
    <mergeCell ref="AG14:AG15"/>
    <mergeCell ref="R14:R15"/>
    <mergeCell ref="S14:S15"/>
    <mergeCell ref="T14:T15"/>
    <mergeCell ref="W14:W15"/>
    <mergeCell ref="X14:X15"/>
    <mergeCell ref="Y14:Y15"/>
    <mergeCell ref="AI16:AI17"/>
    <mergeCell ref="AJ16:AJ17"/>
    <mergeCell ref="R18:R19"/>
    <mergeCell ref="S18:S19"/>
    <mergeCell ref="T18:T19"/>
    <mergeCell ref="W18:W19"/>
    <mergeCell ref="X18:X19"/>
    <mergeCell ref="Y18:Y19"/>
    <mergeCell ref="Z18:Z19"/>
    <mergeCell ref="AA18:AA19"/>
    <mergeCell ref="AA16:AA17"/>
    <mergeCell ref="AB16:AB17"/>
    <mergeCell ref="AC16:AC17"/>
    <mergeCell ref="AD16:AD17"/>
    <mergeCell ref="AG16:AG17"/>
    <mergeCell ref="AH16:AH17"/>
    <mergeCell ref="AC20:AC21"/>
    <mergeCell ref="AD20:AD21"/>
    <mergeCell ref="AG20:AG21"/>
    <mergeCell ref="AH20:AH21"/>
    <mergeCell ref="AI20:AI21"/>
    <mergeCell ref="AJ20:AJ21"/>
    <mergeCell ref="AJ18:AJ19"/>
    <mergeCell ref="R20:R21"/>
    <mergeCell ref="S20:S21"/>
    <mergeCell ref="T20:T21"/>
    <mergeCell ref="W20:W21"/>
    <mergeCell ref="X20:X21"/>
    <mergeCell ref="Y20:Y21"/>
    <mergeCell ref="Z20:Z21"/>
    <mergeCell ref="AA20:AA21"/>
    <mergeCell ref="AB20:AB21"/>
    <mergeCell ref="AB18:AB19"/>
    <mergeCell ref="AC18:AC19"/>
    <mergeCell ref="AD18:AD19"/>
    <mergeCell ref="AG18:AG19"/>
    <mergeCell ref="AH18:AH19"/>
    <mergeCell ref="AI18:AI19"/>
    <mergeCell ref="AH22:AH23"/>
    <mergeCell ref="AI22:AI23"/>
    <mergeCell ref="AJ22:AJ23"/>
    <mergeCell ref="R24:R25"/>
    <mergeCell ref="S24:S25"/>
    <mergeCell ref="T24:T25"/>
    <mergeCell ref="W24:W25"/>
    <mergeCell ref="X24:X25"/>
    <mergeCell ref="Y24:Y25"/>
    <mergeCell ref="Z24:Z25"/>
    <mergeCell ref="Z22:Z23"/>
    <mergeCell ref="AA22:AA23"/>
    <mergeCell ref="AB22:AB23"/>
    <mergeCell ref="AC22:AC23"/>
    <mergeCell ref="AD22:AD23"/>
    <mergeCell ref="AG22:AG23"/>
    <mergeCell ref="R22:R23"/>
    <mergeCell ref="S22:S23"/>
    <mergeCell ref="T22:T23"/>
    <mergeCell ref="W22:W23"/>
    <mergeCell ref="X22:X23"/>
    <mergeCell ref="Y22:Y23"/>
    <mergeCell ref="AI24:AI25"/>
    <mergeCell ref="AJ24:AJ25"/>
    <mergeCell ref="R26:R27"/>
    <mergeCell ref="S26:S27"/>
    <mergeCell ref="T26:T27"/>
    <mergeCell ref="W26:W27"/>
    <mergeCell ref="X26:X27"/>
    <mergeCell ref="Y26:Y27"/>
    <mergeCell ref="Z26:Z27"/>
    <mergeCell ref="AA26:AA27"/>
    <mergeCell ref="AA24:AA25"/>
    <mergeCell ref="AB24:AB25"/>
    <mergeCell ref="AC24:AC25"/>
    <mergeCell ref="AD24:AD25"/>
    <mergeCell ref="AG24:AG25"/>
    <mergeCell ref="AH24:AH25"/>
    <mergeCell ref="AC28:AC29"/>
    <mergeCell ref="AD28:AD29"/>
    <mergeCell ref="AG28:AG29"/>
    <mergeCell ref="AH28:AH29"/>
    <mergeCell ref="AI28:AI29"/>
    <mergeCell ref="AJ28:AJ29"/>
    <mergeCell ref="AJ26:AJ27"/>
    <mergeCell ref="R28:R29"/>
    <mergeCell ref="S28:S29"/>
    <mergeCell ref="T28:T29"/>
    <mergeCell ref="W28:W29"/>
    <mergeCell ref="X28:X29"/>
    <mergeCell ref="Y28:Y29"/>
    <mergeCell ref="Z28:Z29"/>
    <mergeCell ref="AA28:AA29"/>
    <mergeCell ref="AB28:AB29"/>
    <mergeCell ref="AB26:AB27"/>
    <mergeCell ref="AC26:AC27"/>
    <mergeCell ref="AD26:AD27"/>
    <mergeCell ref="AG26:AG27"/>
    <mergeCell ref="AH26:AH27"/>
    <mergeCell ref="AI26:AI27"/>
    <mergeCell ref="AH30:AH31"/>
    <mergeCell ref="AI30:AI31"/>
    <mergeCell ref="AJ30:AJ31"/>
    <mergeCell ref="R32:R33"/>
    <mergeCell ref="S32:S33"/>
    <mergeCell ref="T32:T33"/>
    <mergeCell ref="W32:W33"/>
    <mergeCell ref="X32:X33"/>
    <mergeCell ref="Y32:Y33"/>
    <mergeCell ref="Z32:Z33"/>
    <mergeCell ref="Z30:Z31"/>
    <mergeCell ref="AA30:AA31"/>
    <mergeCell ref="AB30:AB31"/>
    <mergeCell ref="AC30:AC31"/>
    <mergeCell ref="AD30:AD31"/>
    <mergeCell ref="AG30:AG31"/>
    <mergeCell ref="R30:R31"/>
    <mergeCell ref="S30:S31"/>
    <mergeCell ref="T30:T31"/>
    <mergeCell ref="W30:W31"/>
    <mergeCell ref="X30:X31"/>
    <mergeCell ref="Y30:Y31"/>
    <mergeCell ref="AI32:AI33"/>
    <mergeCell ref="AJ32:AJ33"/>
    <mergeCell ref="R34:R35"/>
    <mergeCell ref="S34:S35"/>
    <mergeCell ref="T34:T35"/>
    <mergeCell ref="W34:W35"/>
    <mergeCell ref="X34:X35"/>
    <mergeCell ref="Y34:Y35"/>
    <mergeCell ref="Z34:Z35"/>
    <mergeCell ref="AA34:AA35"/>
    <mergeCell ref="AA32:AA33"/>
    <mergeCell ref="AB32:AB33"/>
    <mergeCell ref="AC32:AC33"/>
    <mergeCell ref="AD32:AD33"/>
    <mergeCell ref="AG32:AG33"/>
    <mergeCell ref="AH32:AH33"/>
    <mergeCell ref="AC36:AC37"/>
    <mergeCell ref="AD36:AD37"/>
    <mergeCell ref="AG36:AG37"/>
    <mergeCell ref="AH36:AH37"/>
    <mergeCell ref="AI36:AI37"/>
    <mergeCell ref="AJ36:AJ37"/>
    <mergeCell ref="AJ34:AJ35"/>
    <mergeCell ref="R36:R37"/>
    <mergeCell ref="S36:S37"/>
    <mergeCell ref="T36:T37"/>
    <mergeCell ref="W36:W37"/>
    <mergeCell ref="X36:X37"/>
    <mergeCell ref="Y36:Y37"/>
    <mergeCell ref="Z36:Z37"/>
    <mergeCell ref="AA36:AA37"/>
    <mergeCell ref="AB36:AB37"/>
    <mergeCell ref="AB34:AB35"/>
    <mergeCell ref="AC34:AC35"/>
    <mergeCell ref="AD34:AD35"/>
    <mergeCell ref="AG34:AG35"/>
    <mergeCell ref="AH34:AH35"/>
    <mergeCell ref="AI34:AI35"/>
    <mergeCell ref="AH38:AH39"/>
    <mergeCell ref="AI38:AI39"/>
    <mergeCell ref="AJ38:AJ39"/>
    <mergeCell ref="R40:R41"/>
    <mergeCell ref="S40:S41"/>
    <mergeCell ref="T40:T41"/>
    <mergeCell ref="W40:W41"/>
    <mergeCell ref="X40:X41"/>
    <mergeCell ref="Y40:Y41"/>
    <mergeCell ref="Z40:Z41"/>
    <mergeCell ref="Z38:Z39"/>
    <mergeCell ref="AA38:AA39"/>
    <mergeCell ref="AB38:AB39"/>
    <mergeCell ref="AC38:AC39"/>
    <mergeCell ref="AD38:AD39"/>
    <mergeCell ref="AG38:AG39"/>
    <mergeCell ref="R38:R39"/>
    <mergeCell ref="S38:S39"/>
    <mergeCell ref="T38:T39"/>
    <mergeCell ref="W38:W39"/>
    <mergeCell ref="X38:X39"/>
    <mergeCell ref="Y38:Y39"/>
    <mergeCell ref="AB42:AB43"/>
    <mergeCell ref="AC42:AC43"/>
    <mergeCell ref="AD42:AD43"/>
    <mergeCell ref="AG42:AG43"/>
    <mergeCell ref="AH42:AH43"/>
    <mergeCell ref="AI42:AI43"/>
    <mergeCell ref="AI40:AI41"/>
    <mergeCell ref="AJ40:AJ41"/>
    <mergeCell ref="R42:R43"/>
    <mergeCell ref="S42:S43"/>
    <mergeCell ref="T42:T43"/>
    <mergeCell ref="W42:W43"/>
    <mergeCell ref="X42:X43"/>
    <mergeCell ref="Y42:Y43"/>
    <mergeCell ref="Z42:Z43"/>
    <mergeCell ref="AA42:AA43"/>
    <mergeCell ref="AA40:AA41"/>
    <mergeCell ref="AB40:AB41"/>
    <mergeCell ref="AC40:AC41"/>
    <mergeCell ref="AD40:AD41"/>
    <mergeCell ref="AG40:AG41"/>
    <mergeCell ref="AH40:AH41"/>
    <mergeCell ref="R44:R45"/>
    <mergeCell ref="S44:S45"/>
    <mergeCell ref="T44:T45"/>
    <mergeCell ref="W44:W45"/>
    <mergeCell ref="X44:X45"/>
    <mergeCell ref="Y44:Y45"/>
    <mergeCell ref="Z44:Z45"/>
    <mergeCell ref="AA44:AA45"/>
    <mergeCell ref="AB44:AB45"/>
    <mergeCell ref="AH46:AH47"/>
    <mergeCell ref="AI46:AI47"/>
    <mergeCell ref="AJ46:AJ47"/>
    <mergeCell ref="Q26:Q27"/>
    <mergeCell ref="Z46:Z47"/>
    <mergeCell ref="AA46:AA47"/>
    <mergeCell ref="AB46:AB47"/>
    <mergeCell ref="AC46:AC47"/>
    <mergeCell ref="AD46:AD47"/>
    <mergeCell ref="AG46:AG47"/>
    <mergeCell ref="R46:R47"/>
    <mergeCell ref="S46:S47"/>
    <mergeCell ref="T46:T47"/>
    <mergeCell ref="W46:W47"/>
    <mergeCell ref="X46:X47"/>
    <mergeCell ref="Y46:Y47"/>
    <mergeCell ref="AC44:AC45"/>
    <mergeCell ref="AD44:AD45"/>
    <mergeCell ref="AG44:AG45"/>
    <mergeCell ref="AH44:AH45"/>
    <mergeCell ref="AI44:AI45"/>
    <mergeCell ref="AJ44:AJ45"/>
    <mergeCell ref="AJ42:AJ43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99D4B-6435-4290-AC7B-E4BCE45E2036}">
  <sheetPr codeName="Sheet3"/>
  <dimension ref="B3:C3"/>
  <sheetViews>
    <sheetView workbookViewId="0">
      <selection activeCell="C3" sqref="C3"/>
    </sheetView>
  </sheetViews>
  <sheetFormatPr defaultRowHeight="14.4" x14ac:dyDescent="0.3"/>
  <cols>
    <col min="2" max="2" width="10.33203125" bestFit="1" customWidth="1"/>
    <col min="3" max="3" width="78.6640625" bestFit="1" customWidth="1"/>
  </cols>
  <sheetData>
    <row r="3" spans="2:3" x14ac:dyDescent="0.3">
      <c r="B3" s="1" t="s">
        <v>34</v>
      </c>
      <c r="C3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8CE09-C22C-4C51-B32F-AD45F08DDB72}">
  <sheetPr codeName="Sheet4"/>
  <dimension ref="A1:M18"/>
  <sheetViews>
    <sheetView workbookViewId="0">
      <selection activeCell="H26" sqref="H26"/>
    </sheetView>
  </sheetViews>
  <sheetFormatPr defaultRowHeight="14.4" x14ac:dyDescent="0.3"/>
  <sheetData>
    <row r="1" spans="1:13" x14ac:dyDescent="0.3">
      <c r="A1" s="5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5" t="s">
        <v>25</v>
      </c>
      <c r="I1" s="5" t="s">
        <v>26</v>
      </c>
      <c r="J1" s="5" t="s">
        <v>27</v>
      </c>
      <c r="K1" s="5" t="s">
        <v>28</v>
      </c>
      <c r="L1" s="5" t="s">
        <v>29</v>
      </c>
      <c r="M1" s="5" t="s">
        <v>30</v>
      </c>
    </row>
    <row r="2" spans="1:13" x14ac:dyDescent="0.3">
      <c r="A2" s="6">
        <v>44256</v>
      </c>
      <c r="B2" s="8">
        <v>2.9999999999999997E-4</v>
      </c>
      <c r="C2" s="8">
        <v>2.9999999999999997E-4</v>
      </c>
      <c r="D2" s="8">
        <v>5.0000000000000001E-4</v>
      </c>
      <c r="E2" s="8">
        <v>7.000000000000001E-4</v>
      </c>
      <c r="F2" s="8">
        <v>8.0000000000000004E-4</v>
      </c>
      <c r="G2" s="8">
        <v>1.2999999999999999E-3</v>
      </c>
      <c r="H2" s="8">
        <v>2.7000000000000001E-3</v>
      </c>
      <c r="I2" s="8">
        <v>7.0999999999999995E-3</v>
      </c>
      <c r="J2" s="8">
        <v>1.1200000000000002E-2</v>
      </c>
      <c r="K2" s="8">
        <v>1.4499999999999999E-2</v>
      </c>
      <c r="L2" s="8">
        <v>2.1099999999999997E-2</v>
      </c>
      <c r="M2" s="8">
        <v>2.23E-2</v>
      </c>
    </row>
    <row r="3" spans="1:13" x14ac:dyDescent="0.3">
      <c r="A3" s="7">
        <v>44257</v>
      </c>
      <c r="B3" s="9">
        <v>4.0000000000000002E-4</v>
      </c>
      <c r="C3" s="9">
        <v>4.0000000000000002E-4</v>
      </c>
      <c r="D3" s="9">
        <v>4.0000000000000002E-4</v>
      </c>
      <c r="E3" s="9">
        <v>5.9999999999999995E-4</v>
      </c>
      <c r="F3" s="9">
        <v>8.0000000000000004E-4</v>
      </c>
      <c r="G3" s="9">
        <v>1.2999999999999999E-3</v>
      </c>
      <c r="H3" s="9">
        <v>2.5999999999999999E-3</v>
      </c>
      <c r="I3" s="9">
        <v>6.7000000000000002E-3</v>
      </c>
      <c r="J3" s="9">
        <v>1.0800000000000001E-2</v>
      </c>
      <c r="K3" s="9">
        <v>1.4199999999999999E-2</v>
      </c>
      <c r="L3" s="9">
        <v>2.0899999999999998E-2</v>
      </c>
      <c r="M3" s="9">
        <v>2.2099999999999998E-2</v>
      </c>
    </row>
    <row r="4" spans="1:13" x14ac:dyDescent="0.3">
      <c r="A4" s="6">
        <v>44258</v>
      </c>
      <c r="B4" s="8">
        <v>4.0000000000000002E-4</v>
      </c>
      <c r="C4" s="8">
        <v>4.0000000000000002E-4</v>
      </c>
      <c r="D4" s="8">
        <v>5.0000000000000001E-4</v>
      </c>
      <c r="E4" s="8">
        <v>7.000000000000001E-4</v>
      </c>
      <c r="F4" s="8">
        <v>8.0000000000000004E-4</v>
      </c>
      <c r="G4" s="8">
        <v>1.4000000000000002E-3</v>
      </c>
      <c r="H4" s="8">
        <v>2.8999999999999998E-3</v>
      </c>
      <c r="I4" s="8">
        <v>7.3000000000000001E-3</v>
      </c>
      <c r="J4" s="8">
        <v>1.1399999999999999E-2</v>
      </c>
      <c r="K4" s="8">
        <v>1.47E-2</v>
      </c>
      <c r="L4" s="8">
        <v>2.12E-2</v>
      </c>
      <c r="M4" s="8">
        <v>2.2499999999999999E-2</v>
      </c>
    </row>
    <row r="5" spans="1:13" x14ac:dyDescent="0.3">
      <c r="A5" s="7">
        <v>44259</v>
      </c>
      <c r="B5" s="9">
        <v>2.9999999999999997E-4</v>
      </c>
      <c r="C5" s="9">
        <v>5.0000000000000001E-4</v>
      </c>
      <c r="D5" s="9">
        <v>4.0000000000000002E-4</v>
      </c>
      <c r="E5" s="9">
        <v>7.000000000000001E-4</v>
      </c>
      <c r="F5" s="9">
        <v>8.0000000000000004E-4</v>
      </c>
      <c r="G5" s="9">
        <v>1.4000000000000002E-3</v>
      </c>
      <c r="H5" s="9">
        <v>3.2000000000000002E-3</v>
      </c>
      <c r="I5" s="9">
        <v>7.7000000000000002E-3</v>
      </c>
      <c r="J5" s="9">
        <v>1.21E-2</v>
      </c>
      <c r="K5" s="9">
        <v>1.54E-2</v>
      </c>
      <c r="L5" s="9">
        <v>2.18E-2</v>
      </c>
      <c r="M5" s="9">
        <v>2.3E-2</v>
      </c>
    </row>
    <row r="6" spans="1:13" x14ac:dyDescent="0.3">
      <c r="A6" s="6">
        <v>44260</v>
      </c>
      <c r="B6" s="8">
        <v>4.0000000000000002E-4</v>
      </c>
      <c r="C6" s="8">
        <v>4.0000000000000002E-4</v>
      </c>
      <c r="D6" s="8">
        <v>4.0000000000000002E-4</v>
      </c>
      <c r="E6" s="8">
        <v>7.000000000000001E-4</v>
      </c>
      <c r="F6" s="8">
        <v>8.0000000000000004E-4</v>
      </c>
      <c r="G6" s="8">
        <v>1.4000000000000002E-3</v>
      </c>
      <c r="H6" s="8">
        <v>3.2000000000000002E-3</v>
      </c>
      <c r="I6" s="8">
        <v>7.9000000000000008E-3</v>
      </c>
      <c r="J6" s="8">
        <v>1.23E-2</v>
      </c>
      <c r="K6" s="8">
        <v>1.5600000000000001E-2</v>
      </c>
      <c r="L6" s="8">
        <v>2.18E-2</v>
      </c>
      <c r="M6" s="8">
        <v>2.2799999999999997E-2</v>
      </c>
    </row>
    <row r="7" spans="1:13" x14ac:dyDescent="0.3">
      <c r="A7" s="7">
        <v>44263</v>
      </c>
      <c r="B7" s="9">
        <v>4.0000000000000002E-4</v>
      </c>
      <c r="C7" s="9">
        <v>4.0000000000000002E-4</v>
      </c>
      <c r="D7" s="9">
        <v>5.0000000000000001E-4</v>
      </c>
      <c r="E7" s="9">
        <v>5.9999999999999995E-4</v>
      </c>
      <c r="F7" s="9">
        <v>8.9999999999999998E-4</v>
      </c>
      <c r="G7" s="9">
        <v>1.7000000000000001E-3</v>
      </c>
      <c r="H7" s="9">
        <v>3.4000000000000002E-3</v>
      </c>
      <c r="I7" s="9">
        <v>8.6E-3</v>
      </c>
      <c r="J7" s="9">
        <v>1.2800000000000001E-2</v>
      </c>
      <c r="K7" s="9">
        <v>1.5900000000000001E-2</v>
      </c>
      <c r="L7" s="9">
        <v>2.2000000000000002E-2</v>
      </c>
      <c r="M7" s="9">
        <v>2.3099999999999999E-2</v>
      </c>
    </row>
    <row r="8" spans="1:13" x14ac:dyDescent="0.3">
      <c r="A8" s="6">
        <v>44264</v>
      </c>
      <c r="B8" s="8">
        <v>4.0000000000000002E-4</v>
      </c>
      <c r="C8" s="8">
        <v>4.0000000000000002E-4</v>
      </c>
      <c r="D8" s="8">
        <v>5.0000000000000001E-4</v>
      </c>
      <c r="E8" s="8">
        <v>7.000000000000001E-4</v>
      </c>
      <c r="F8" s="8">
        <v>1E-3</v>
      </c>
      <c r="G8" s="8">
        <v>1.7000000000000001E-3</v>
      </c>
      <c r="H8" s="8">
        <v>3.4999999999999996E-3</v>
      </c>
      <c r="I8" s="8">
        <v>8.3000000000000001E-3</v>
      </c>
      <c r="J8" s="8">
        <v>1.23E-2</v>
      </c>
      <c r="K8" s="8">
        <v>1.55E-2</v>
      </c>
      <c r="L8" s="8">
        <v>2.1600000000000001E-2</v>
      </c>
      <c r="M8" s="8">
        <v>2.2599999999999999E-2</v>
      </c>
    </row>
    <row r="9" spans="1:13" x14ac:dyDescent="0.3">
      <c r="A9" s="7">
        <v>44265</v>
      </c>
      <c r="B9" s="9">
        <v>2.9999999999999997E-4</v>
      </c>
      <c r="C9" s="9">
        <v>2.9999999999999997E-4</v>
      </c>
      <c r="D9" s="9">
        <v>4.0000000000000002E-4</v>
      </c>
      <c r="E9" s="9">
        <v>5.9999999999999995E-4</v>
      </c>
      <c r="F9" s="9">
        <v>8.0000000000000004E-4</v>
      </c>
      <c r="G9" s="9">
        <v>1.6000000000000001E-3</v>
      </c>
      <c r="H9" s="9">
        <v>3.2000000000000002E-3</v>
      </c>
      <c r="I9" s="9">
        <v>8.0000000000000002E-3</v>
      </c>
      <c r="J9" s="9">
        <v>1.2E-2</v>
      </c>
      <c r="K9" s="9">
        <v>1.5300000000000001E-2</v>
      </c>
      <c r="L9" s="9">
        <v>2.1499999999999998E-2</v>
      </c>
      <c r="M9" s="9">
        <v>2.2400000000000003E-2</v>
      </c>
    </row>
    <row r="10" spans="1:13" x14ac:dyDescent="0.3">
      <c r="A10" s="6">
        <v>44266</v>
      </c>
      <c r="B10" s="8">
        <v>4.0000000000000002E-4</v>
      </c>
      <c r="C10" s="8">
        <v>4.0000000000000002E-4</v>
      </c>
      <c r="D10" s="8">
        <v>4.0000000000000002E-4</v>
      </c>
      <c r="E10" s="8">
        <v>5.0000000000000001E-4</v>
      </c>
      <c r="F10" s="8">
        <v>8.0000000000000004E-4</v>
      </c>
      <c r="G10" s="8">
        <v>1.4000000000000002E-3</v>
      </c>
      <c r="H10" s="8">
        <v>3.0999999999999999E-3</v>
      </c>
      <c r="I10" s="8">
        <v>7.8000000000000005E-3</v>
      </c>
      <c r="J10" s="8">
        <v>1.2E-2</v>
      </c>
      <c r="K10" s="8">
        <v>1.54E-2</v>
      </c>
      <c r="L10" s="8">
        <v>2.18E-2</v>
      </c>
      <c r="M10" s="8">
        <v>2.29E-2</v>
      </c>
    </row>
    <row r="11" spans="1:13" x14ac:dyDescent="0.3">
      <c r="A11" s="7">
        <v>44267</v>
      </c>
      <c r="B11" s="9">
        <v>2.9999999999999997E-4</v>
      </c>
      <c r="C11" s="9">
        <v>2.9999999999999997E-4</v>
      </c>
      <c r="D11" s="9">
        <v>4.0000000000000002E-4</v>
      </c>
      <c r="E11" s="9">
        <v>5.9999999999999995E-4</v>
      </c>
      <c r="F11" s="9">
        <v>8.9999999999999998E-4</v>
      </c>
      <c r="G11" s="9">
        <v>1.4000000000000002E-3</v>
      </c>
      <c r="H11" s="9">
        <v>3.4000000000000002E-3</v>
      </c>
      <c r="I11" s="9">
        <v>8.5000000000000006E-3</v>
      </c>
      <c r="J11" s="9">
        <v>1.3000000000000001E-2</v>
      </c>
      <c r="K11" s="9">
        <v>1.6399999999999998E-2</v>
      </c>
      <c r="L11" s="9">
        <v>2.3099999999999999E-2</v>
      </c>
      <c r="M11" s="9">
        <v>2.4E-2</v>
      </c>
    </row>
    <row r="12" spans="1:13" x14ac:dyDescent="0.3">
      <c r="A12" s="6">
        <v>44270</v>
      </c>
      <c r="B12" s="8">
        <v>2.0000000000000001E-4</v>
      </c>
      <c r="C12" s="8">
        <v>2.0000000000000001E-4</v>
      </c>
      <c r="D12" s="8">
        <v>4.0000000000000002E-4</v>
      </c>
      <c r="E12" s="8">
        <v>5.9999999999999995E-4</v>
      </c>
      <c r="F12" s="8">
        <v>8.0000000000000004E-4</v>
      </c>
      <c r="G12" s="8">
        <v>1.4000000000000002E-3</v>
      </c>
      <c r="H12" s="8">
        <v>3.3E-3</v>
      </c>
      <c r="I12" s="8">
        <v>8.3999999999999995E-3</v>
      </c>
      <c r="J12" s="8">
        <v>1.2800000000000001E-2</v>
      </c>
      <c r="K12" s="8">
        <v>1.6200000000000003E-2</v>
      </c>
      <c r="L12" s="8">
        <v>2.2700000000000001E-2</v>
      </c>
      <c r="M12" s="8">
        <v>2.3700000000000002E-2</v>
      </c>
    </row>
    <row r="13" spans="1:13" x14ac:dyDescent="0.3">
      <c r="A13" s="7">
        <v>44271</v>
      </c>
      <c r="B13" s="9">
        <v>1E-4</v>
      </c>
      <c r="C13" s="9">
        <v>2.0000000000000001E-4</v>
      </c>
      <c r="D13" s="9">
        <v>2.0000000000000001E-4</v>
      </c>
      <c r="E13" s="9">
        <v>5.9999999999999995E-4</v>
      </c>
      <c r="F13" s="9">
        <v>7.000000000000001E-4</v>
      </c>
      <c r="G13" s="9">
        <v>1.5E-3</v>
      </c>
      <c r="H13" s="9">
        <v>3.3E-3</v>
      </c>
      <c r="I13" s="9">
        <v>8.3000000000000001E-3</v>
      </c>
      <c r="J13" s="9">
        <v>1.2800000000000001E-2</v>
      </c>
      <c r="K13" s="9">
        <v>1.6200000000000003E-2</v>
      </c>
      <c r="L13" s="9">
        <v>2.3E-2</v>
      </c>
      <c r="M13" s="9">
        <v>2.3799999999999998E-2</v>
      </c>
    </row>
    <row r="14" spans="1:13" x14ac:dyDescent="0.3">
      <c r="A14" s="6">
        <v>44272</v>
      </c>
      <c r="B14" s="8">
        <v>1E-4</v>
      </c>
      <c r="C14" s="8">
        <v>2.0000000000000001E-4</v>
      </c>
      <c r="D14" s="8">
        <v>2.0000000000000001E-4</v>
      </c>
      <c r="E14" s="8">
        <v>5.0000000000000001E-4</v>
      </c>
      <c r="F14" s="8">
        <v>7.000000000000001E-4</v>
      </c>
      <c r="G14" s="8">
        <v>1.2999999999999999E-3</v>
      </c>
      <c r="H14" s="8">
        <v>2.8999999999999998E-3</v>
      </c>
      <c r="I14" s="8">
        <v>8.0000000000000002E-3</v>
      </c>
      <c r="J14" s="8">
        <v>1.2699999999999999E-2</v>
      </c>
      <c r="K14" s="8">
        <v>1.6299999999999999E-2</v>
      </c>
      <c r="L14" s="8">
        <v>2.3199999999999998E-2</v>
      </c>
      <c r="M14" s="8">
        <v>2.4199999999999999E-2</v>
      </c>
    </row>
    <row r="15" spans="1:13" x14ac:dyDescent="0.3">
      <c r="A15" s="7">
        <v>44273</v>
      </c>
      <c r="B15" s="9">
        <v>1E-4</v>
      </c>
      <c r="C15" s="9">
        <v>1E-4</v>
      </c>
      <c r="D15" s="9">
        <v>1E-4</v>
      </c>
      <c r="E15" s="9">
        <v>2.9999999999999997E-4</v>
      </c>
      <c r="F15" s="9">
        <v>8.0000000000000004E-4</v>
      </c>
      <c r="G15" s="9">
        <v>1.6000000000000001E-3</v>
      </c>
      <c r="H15" s="9">
        <v>3.3E-3</v>
      </c>
      <c r="I15" s="9">
        <v>8.6E-3</v>
      </c>
      <c r="J15" s="9">
        <v>1.3500000000000002E-2</v>
      </c>
      <c r="K15" s="9">
        <v>1.7100000000000001E-2</v>
      </c>
      <c r="L15" s="9">
        <v>2.3599999999999999E-2</v>
      </c>
      <c r="M15" s="9">
        <v>2.4500000000000001E-2</v>
      </c>
    </row>
    <row r="16" spans="1:13" x14ac:dyDescent="0.3">
      <c r="A16" s="6">
        <v>44274</v>
      </c>
      <c r="B16" s="8">
        <v>1E-4</v>
      </c>
      <c r="C16" s="8">
        <v>1E-4</v>
      </c>
      <c r="D16" s="8">
        <v>1E-4</v>
      </c>
      <c r="E16" s="8">
        <v>2.9999999999999997E-4</v>
      </c>
      <c r="F16" s="8">
        <v>7.000000000000001E-4</v>
      </c>
      <c r="G16" s="8">
        <v>1.6000000000000001E-3</v>
      </c>
      <c r="H16" s="8">
        <v>3.3E-3</v>
      </c>
      <c r="I16" s="8">
        <v>9.0000000000000011E-3</v>
      </c>
      <c r="J16" s="8">
        <v>1.38E-2</v>
      </c>
      <c r="K16" s="8">
        <v>1.7399999999999999E-2</v>
      </c>
      <c r="L16" s="8">
        <v>2.3599999999999999E-2</v>
      </c>
      <c r="M16" s="8">
        <v>2.4500000000000001E-2</v>
      </c>
    </row>
    <row r="17" spans="1:13" x14ac:dyDescent="0.3">
      <c r="A17" s="7">
        <v>44277</v>
      </c>
      <c r="B17" s="9">
        <v>2.0000000000000001E-4</v>
      </c>
      <c r="C17" s="9">
        <v>2.0000000000000001E-4</v>
      </c>
      <c r="D17" s="9">
        <v>2.9999999999999997E-4</v>
      </c>
      <c r="E17" s="9">
        <v>5.0000000000000001E-4</v>
      </c>
      <c r="F17" s="9">
        <v>5.9999999999999995E-4</v>
      </c>
      <c r="G17" s="9">
        <v>1.5E-3</v>
      </c>
      <c r="H17" s="9">
        <v>3.2000000000000002E-3</v>
      </c>
      <c r="I17" s="9">
        <v>8.6999999999999994E-3</v>
      </c>
      <c r="J17" s="9">
        <v>1.34E-2</v>
      </c>
      <c r="K17" s="9">
        <v>1.6899999999999998E-2</v>
      </c>
      <c r="L17" s="9">
        <v>2.29E-2</v>
      </c>
      <c r="M17" s="9">
        <v>2.3799999999999998E-2</v>
      </c>
    </row>
    <row r="18" spans="1:13" x14ac:dyDescent="0.3">
      <c r="A18" s="6">
        <v>44278</v>
      </c>
      <c r="B18" s="8">
        <v>2.0000000000000001E-4</v>
      </c>
      <c r="C18" s="8">
        <v>2.0000000000000001E-4</v>
      </c>
      <c r="D18" s="8">
        <v>1E-4</v>
      </c>
      <c r="E18" s="8">
        <v>4.0000000000000002E-4</v>
      </c>
      <c r="F18" s="8">
        <v>8.0000000000000004E-4</v>
      </c>
      <c r="G18" s="8">
        <v>1.5E-3</v>
      </c>
      <c r="H18" s="8">
        <v>3.0999999999999999E-3</v>
      </c>
      <c r="I18" s="8">
        <v>8.3000000000000001E-3</v>
      </c>
      <c r="J18" s="8">
        <v>1.29E-2</v>
      </c>
      <c r="K18" s="8">
        <v>1.6299999999999999E-2</v>
      </c>
      <c r="L18" s="8">
        <v>2.2400000000000003E-2</v>
      </c>
      <c r="M18" s="8">
        <v>2.3399999999999997E-2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25Mar_Contrato30Abr_CallsyPuts</vt:lpstr>
      <vt:lpstr>Conditions</vt:lpstr>
      <vt:lpstr>24Mar_TreasuryYields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Mati Juárez</dc:creator>
  <cp:lastModifiedBy>Mati Juárez</cp:lastModifiedBy>
  <dcterms:created xsi:type="dcterms:W3CDTF">2021-03-24T19:27:36Z</dcterms:created>
  <dcterms:modified xsi:type="dcterms:W3CDTF">2021-03-28T14:06:23Z</dcterms:modified>
</cp:coreProperties>
</file>